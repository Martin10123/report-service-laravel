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simarra.COTECMAR\Documents\reportes\"/>
    </mc:Choice>
  </mc:AlternateContent>
  <xr:revisionPtr revIDLastSave="0" documentId="13_ncr:20001_{B259E0E6-F2C8-4C44-8868-6A74C8F27EA9}" xr6:coauthVersionLast="47" xr6:coauthVersionMax="47" xr10:uidLastSave="{00000000-0000-0000-0000-000000000000}"/>
  <bookViews>
    <workbookView xWindow="28680" yWindow="-120" windowWidth="24240" windowHeight="13020" activeTab="9" xr2:uid="{00000000-000D-0000-FFFF-FFFF00000000}"/>
  </bookViews>
  <sheets>
    <sheet name="Menu" sheetId="1" r:id="rId1"/>
    <sheet name="Primer Conteo" sheetId="2" r:id="rId2"/>
    <sheet name="A1" sheetId="4" r:id="rId3"/>
    <sheet name="A2" sheetId="5" r:id="rId4"/>
    <sheet name="A3" sheetId="6" r:id="rId5"/>
    <sheet name="A4" sheetId="7" r:id="rId6"/>
    <sheet name="Sobres" sheetId="8" r:id="rId7"/>
    <sheet name="Servicios" sheetId="9" r:id="rId8"/>
    <sheet name="Consolidado" sheetId="10" r:id="rId9"/>
    <sheet name="Inf. Final" sheetId="11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1" l="1"/>
  <c r="C72" i="11"/>
  <c r="C71" i="11"/>
  <c r="C66" i="11"/>
  <c r="C65" i="11"/>
  <c r="C64" i="11"/>
  <c r="C63" i="11"/>
  <c r="C58" i="11"/>
  <c r="C56" i="11"/>
  <c r="C55" i="11"/>
  <c r="C51" i="11"/>
  <c r="C43" i="11"/>
  <c r="C41" i="11"/>
  <c r="C16" i="11"/>
  <c r="C14" i="11"/>
  <c r="C7" i="11"/>
  <c r="C25" i="2" s="1"/>
  <c r="C40" i="2" s="1"/>
  <c r="C6" i="11"/>
  <c r="B4" i="11"/>
  <c r="B7" i="11" s="1"/>
  <c r="F32" i="10"/>
  <c r="F31" i="10"/>
  <c r="C42" i="11" s="1"/>
  <c r="F30" i="10"/>
  <c r="C24" i="10"/>
  <c r="G24" i="10" s="1"/>
  <c r="C31" i="11" s="1"/>
  <c r="C23" i="10"/>
  <c r="G23" i="10" s="1"/>
  <c r="C30" i="11" s="1"/>
  <c r="D22" i="10"/>
  <c r="G22" i="10" s="1"/>
  <c r="C29" i="11" s="1"/>
  <c r="F21" i="10"/>
  <c r="G21" i="10" s="1"/>
  <c r="C28" i="11" s="1"/>
  <c r="D20" i="10"/>
  <c r="G20" i="10" s="1"/>
  <c r="C27" i="11" s="1"/>
  <c r="D19" i="10"/>
  <c r="G19" i="10" s="1"/>
  <c r="C26" i="11" s="1"/>
  <c r="F18" i="10"/>
  <c r="E18" i="10"/>
  <c r="D18" i="10"/>
  <c r="C18" i="10"/>
  <c r="C17" i="10"/>
  <c r="G17" i="10" s="1"/>
  <c r="C24" i="11" s="1"/>
  <c r="E16" i="10"/>
  <c r="G16" i="10" s="1"/>
  <c r="C23" i="11" s="1"/>
  <c r="F15" i="10"/>
  <c r="E15" i="10"/>
  <c r="E26" i="10" s="1"/>
  <c r="D15" i="10"/>
  <c r="C15" i="10"/>
  <c r="E10" i="10"/>
  <c r="D10" i="10"/>
  <c r="C10" i="10"/>
  <c r="E9" i="10"/>
  <c r="E8" i="10"/>
  <c r="D8" i="10"/>
  <c r="C8" i="10"/>
  <c r="E7" i="10"/>
  <c r="D7" i="10"/>
  <c r="C7" i="10"/>
  <c r="C2" i="10"/>
  <c r="C73" i="11"/>
  <c r="C67" i="11"/>
  <c r="C57" i="11"/>
  <c r="F25" i="10"/>
  <c r="G25" i="10" s="1"/>
  <c r="C32" i="11" s="1"/>
  <c r="D9" i="10"/>
  <c r="C9" i="10"/>
  <c r="D3" i="4"/>
  <c r="B40" i="2"/>
  <c r="B39" i="2"/>
  <c r="B25" i="2"/>
  <c r="C24" i="2" s="1"/>
  <c r="C39" i="2" s="1"/>
  <c r="C75" i="11" l="1"/>
  <c r="C59" i="11"/>
  <c r="F26" i="10"/>
  <c r="C45" i="11"/>
  <c r="F33" i="10"/>
  <c r="E11" i="10"/>
  <c r="G8" i="10"/>
  <c r="D26" i="10"/>
  <c r="G15" i="10"/>
  <c r="D11" i="10"/>
  <c r="G10" i="10"/>
  <c r="C15" i="11" s="1"/>
  <c r="G18" i="10"/>
  <c r="C25" i="11" s="1"/>
  <c r="C11" i="10"/>
  <c r="C13" i="11"/>
  <c r="G9" i="10"/>
  <c r="C26" i="10"/>
  <c r="G7" i="10"/>
  <c r="G26" i="10" l="1"/>
  <c r="C22" i="11"/>
  <c r="C35" i="11" s="1"/>
  <c r="C18" i="11"/>
  <c r="C3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tc={19acebf7-a1cc-4f2b-b630-57071b5031ce}</author>
    <author>tc={17cb8d34-499b-4d51-af87-c7b3c1632587}</author>
  </authors>
  <commentList>
    <comment ref="D8" authorId="0" shapeId="0" xr:uid="{19ACEBF7-A1CC-4F2B-B630-57071B5031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134</t>
      </text>
    </comment>
    <comment ref="D13" authorId="1" shapeId="0" xr:uid="{17CB8D34-499B-4D51-AF87-C7B3C16325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</t>
      </text>
    </comment>
  </commentList>
</comments>
</file>

<file path=xl/sharedStrings.xml><?xml version="1.0" encoding="utf-8"?>
<sst xmlns="http://schemas.openxmlformats.org/spreadsheetml/2006/main" count="208" uniqueCount="161">
  <si>
    <t>MENÚ GENERAL</t>
  </si>
  <si>
    <t>PRIMER CONTEO</t>
  </si>
  <si>
    <t>CONTEO A1</t>
  </si>
  <si>
    <t>G3</t>
  </si>
  <si>
    <t>CONTEO A2</t>
  </si>
  <si>
    <t>CONTEO A3</t>
  </si>
  <si>
    <t>CONTEO A4</t>
  </si>
  <si>
    <t>INFORME FINAL</t>
  </si>
  <si>
    <t>CONTEO SOBRES</t>
  </si>
  <si>
    <t>Primer Conteo</t>
  </si>
  <si>
    <t>VOLVER AL MENÚ</t>
  </si>
  <si>
    <t>Area:</t>
  </si>
  <si>
    <t>A1</t>
  </si>
  <si>
    <t>Adultos :</t>
  </si>
  <si>
    <t>Niños :</t>
  </si>
  <si>
    <t>A2</t>
  </si>
  <si>
    <t>Area:6</t>
  </si>
  <si>
    <t>A3</t>
  </si>
  <si>
    <t>A4</t>
  </si>
  <si>
    <t xml:space="preserve">Servicio </t>
  </si>
  <si>
    <t>Total Adultos:</t>
  </si>
  <si>
    <t>Total Niños:</t>
  </si>
  <si>
    <t>Total Asistencia:</t>
  </si>
  <si>
    <t>Total Final Asistencia</t>
  </si>
  <si>
    <t>Segundo Conteo</t>
  </si>
  <si>
    <t>GRUPO 3</t>
  </si>
  <si>
    <r>
      <rPr>
        <b/>
        <sz val="10"/>
        <color theme="1"/>
        <rFont val="Amasis MT Pro Medium"/>
      </rPr>
      <t xml:space="preserve">AREA : </t>
    </r>
    <r>
      <rPr>
        <b/>
        <sz val="16"/>
        <color theme="1"/>
        <rFont val="Amasis MT Pro Medium"/>
      </rPr>
      <t>A1</t>
    </r>
    <r>
      <rPr>
        <b/>
        <sz val="10"/>
        <color theme="1"/>
        <rFont val="Amasis MT Pro Medium"/>
      </rPr>
      <t xml:space="preserve">                 FECHA:</t>
    </r>
  </si>
  <si>
    <t xml:space="preserve">Total sillas del área. </t>
  </si>
  <si>
    <t xml:space="preserve">Total silla vacías </t>
  </si>
  <si>
    <t xml:space="preserve">Total personas </t>
  </si>
  <si>
    <t>Total niños A1</t>
  </si>
  <si>
    <t xml:space="preserve">Servidores       </t>
  </si>
  <si>
    <t>Comunicaciones (dentro del auditorio)</t>
  </si>
  <si>
    <t xml:space="preserve">Logística          </t>
  </si>
  <si>
    <t>Alabanza</t>
  </si>
  <si>
    <t xml:space="preserve">Servidora de Pastora:   </t>
  </si>
  <si>
    <r>
      <rPr>
        <b/>
        <sz val="10"/>
        <color theme="1"/>
        <rFont val="Amasis MT Pro Medium"/>
      </rPr>
      <t xml:space="preserve">AREA : </t>
    </r>
    <r>
      <rPr>
        <b/>
        <sz val="16"/>
        <color theme="1"/>
        <rFont val="Amasis MT Pro Medium"/>
      </rPr>
      <t>A2</t>
    </r>
    <r>
      <rPr>
        <b/>
        <sz val="10"/>
        <color theme="1"/>
        <rFont val="Amasis MT Pro Medium"/>
      </rPr>
      <t xml:space="preserve">               FECHA:</t>
    </r>
  </si>
  <si>
    <t>Total person</t>
  </si>
  <si>
    <t>Total niños A2</t>
  </si>
  <si>
    <t>Jesus Place</t>
  </si>
  <si>
    <t>Datáfono</t>
  </si>
  <si>
    <t>Ministerial</t>
  </si>
  <si>
    <r>
      <rPr>
        <b/>
        <sz val="10"/>
        <color theme="1"/>
        <rFont val="Amasis MT Pro Medium"/>
      </rPr>
      <t xml:space="preserve">AREA : </t>
    </r>
    <r>
      <rPr>
        <b/>
        <sz val="16"/>
        <color theme="1"/>
        <rFont val="Amasis MT Pro Medium"/>
      </rPr>
      <t>A3</t>
    </r>
    <r>
      <rPr>
        <b/>
        <sz val="10"/>
        <color theme="1"/>
        <rFont val="Amasis MT Pro Medium"/>
      </rPr>
      <t xml:space="preserve">               FECHA:</t>
    </r>
  </si>
  <si>
    <t xml:space="preserve">Total sila vacías </t>
  </si>
  <si>
    <t xml:space="preserve">Total niños A3   </t>
  </si>
  <si>
    <t>Consolidación</t>
  </si>
  <si>
    <r>
      <rPr>
        <b/>
        <sz val="10"/>
        <color theme="1"/>
        <rFont val="Amasis MT Pro Medium"/>
      </rPr>
      <t xml:space="preserve">AREA : </t>
    </r>
    <r>
      <rPr>
        <b/>
        <sz val="16"/>
        <color theme="1"/>
        <rFont val="Amasis MT Pro Medium"/>
      </rPr>
      <t>A4</t>
    </r>
    <r>
      <rPr>
        <b/>
        <sz val="10"/>
        <color theme="1"/>
        <rFont val="Amasis MT Pro Medium"/>
      </rPr>
      <t xml:space="preserve">               FECHA:</t>
    </r>
  </si>
  <si>
    <t>EXTERIORES</t>
  </si>
  <si>
    <t xml:space="preserve">Coffe.           </t>
  </si>
  <si>
    <t xml:space="preserve">Container </t>
  </si>
  <si>
    <t xml:space="preserve">Vehículos </t>
  </si>
  <si>
    <t xml:space="preserve">Motos </t>
  </si>
  <si>
    <t>Bicicletas</t>
  </si>
  <si>
    <t>TOTAL VEHICULOS</t>
  </si>
  <si>
    <t>IGLEKIDS</t>
  </si>
  <si>
    <t xml:space="preserve">Coordinadoras:      </t>
  </si>
  <si>
    <t xml:space="preserve">Supervisoras:         </t>
  </si>
  <si>
    <t xml:space="preserve">Maestros:                </t>
  </si>
  <si>
    <t>Personal de Apoyo</t>
  </si>
  <si>
    <t xml:space="preserve">Recrearte:               </t>
  </si>
  <si>
    <t xml:space="preserve">Regikids:                 </t>
  </si>
  <si>
    <t xml:space="preserve">Logikids:                 </t>
  </si>
  <si>
    <t>Salud Kids:</t>
  </si>
  <si>
    <t>Yo Soy</t>
  </si>
  <si>
    <t xml:space="preserve">Total Apoyo: </t>
  </si>
  <si>
    <t xml:space="preserve">Total área Iglekids: </t>
  </si>
  <si>
    <t xml:space="preserve">Niños:                      </t>
  </si>
  <si>
    <t>Inventario de Sobres</t>
  </si>
  <si>
    <t>Clase</t>
  </si>
  <si>
    <t>Inv.nicial</t>
  </si>
  <si>
    <t>Ingresados</t>
  </si>
  <si>
    <t>Tot.Inicial</t>
  </si>
  <si>
    <t>Entregados</t>
  </si>
  <si>
    <t>Inv.Final</t>
  </si>
  <si>
    <t>Ofrenda</t>
  </si>
  <si>
    <t>Protemplo</t>
  </si>
  <si>
    <t>Iglekids</t>
  </si>
  <si>
    <t>Canastas:</t>
  </si>
  <si>
    <t>N° Serv.</t>
  </si>
  <si>
    <t>Hora</t>
  </si>
  <si>
    <t>07:00 PM</t>
  </si>
  <si>
    <t>08:00 AM</t>
  </si>
  <si>
    <t>09:00 AM</t>
  </si>
  <si>
    <t>11:00 AM</t>
  </si>
  <si>
    <t>05:30 PM</t>
  </si>
  <si>
    <t>06:00 PM</t>
  </si>
  <si>
    <t>FECHA</t>
  </si>
  <si>
    <t>AUDITORIO</t>
  </si>
  <si>
    <t>RESUMEN GENERAL</t>
  </si>
  <si>
    <t>TOTALES</t>
  </si>
  <si>
    <t xml:space="preserve">Sillas del área. </t>
  </si>
  <si>
    <t xml:space="preserve">Silla vacías </t>
  </si>
  <si>
    <t xml:space="preserve">Total Personas </t>
  </si>
  <si>
    <t xml:space="preserve">Total niños </t>
  </si>
  <si>
    <t>Total AUDITORIO</t>
  </si>
  <si>
    <t>SERVIDORES</t>
  </si>
  <si>
    <t>Areas</t>
  </si>
  <si>
    <t>TOTAL</t>
  </si>
  <si>
    <t xml:space="preserve">Servidores: </t>
  </si>
  <si>
    <t xml:space="preserve">Consolidación: </t>
  </si>
  <si>
    <t>Comunicaciones:</t>
  </si>
  <si>
    <t xml:space="preserve">Logistica: </t>
  </si>
  <si>
    <t xml:space="preserve">Jesus place: </t>
  </si>
  <si>
    <t xml:space="preserve">Datafono: </t>
  </si>
  <si>
    <t xml:space="preserve">Coffee: </t>
  </si>
  <si>
    <t>Ministerial:</t>
  </si>
  <si>
    <t xml:space="preserve">Alabanza: </t>
  </si>
  <si>
    <t>VIP:</t>
  </si>
  <si>
    <t>Iglekids:</t>
  </si>
  <si>
    <t>Total Servidores</t>
  </si>
  <si>
    <t>PARQUEADERO</t>
  </si>
  <si>
    <t>VEHICULOS</t>
  </si>
  <si>
    <t xml:space="preserve">Carros </t>
  </si>
  <si>
    <t xml:space="preserve">Bicicletas </t>
  </si>
  <si>
    <t>Total Vehiculos</t>
  </si>
  <si>
    <t>*Informe de Servicio Grupo 3*</t>
  </si>
  <si>
    <t xml:space="preserve">N° Servicio:  </t>
  </si>
  <si>
    <t>Sede</t>
  </si>
  <si>
    <t>1️⃣ Asistencia Personas</t>
  </si>
  <si>
    <r>
      <rPr>
        <sz val="10"/>
        <color rgb="FF00B050"/>
        <rFont val="Tahoma"/>
      </rPr>
      <t>➕</t>
    </r>
    <r>
      <rPr>
        <sz val="10"/>
        <color rgb="FF000000"/>
        <rFont val="Tahoma"/>
      </rPr>
      <t>*Asistencia Personas *</t>
    </r>
  </si>
  <si>
    <t>➖En Sillas:</t>
  </si>
  <si>
    <t>➖En Gradas:</t>
  </si>
  <si>
    <t>➖Niños Auditorio:</t>
  </si>
  <si>
    <t>➖Niños Iglekids</t>
  </si>
  <si>
    <r>
      <rPr>
        <sz val="10"/>
        <color rgb="FFFFFF00"/>
        <rFont val="Tahoma"/>
      </rPr>
      <t>🟰</t>
    </r>
    <r>
      <rPr>
        <sz val="10"/>
        <color rgb="FF000000"/>
        <rFont val="Tahoma"/>
      </rPr>
      <t>* Total Auditorio *:</t>
    </r>
  </si>
  <si>
    <t>➕Area De Servidores:</t>
  </si>
  <si>
    <t>➖Servidores:</t>
  </si>
  <si>
    <t>➖Consolidación:</t>
  </si>
  <si>
    <t>➖Comunicaciones:</t>
  </si>
  <si>
    <t>➖Logistica:</t>
  </si>
  <si>
    <t>➖Jesus place:</t>
  </si>
  <si>
    <t>➖Datafono:</t>
  </si>
  <si>
    <t>➖Coffee:</t>
  </si>
  <si>
    <t>➖Ministerial:</t>
  </si>
  <si>
    <t>➖Alabanza:</t>
  </si>
  <si>
    <t>➖VIP:</t>
  </si>
  <si>
    <t>➖Iglekids:</t>
  </si>
  <si>
    <t>🟰Total Área Servidores:</t>
  </si>
  <si>
    <t>🟰Total Personas Iglesia:</t>
  </si>
  <si>
    <t>2️⃣ Vehículos:</t>
  </si>
  <si>
    <t>➖Carros:</t>
  </si>
  <si>
    <t>➖Motos:</t>
  </si>
  <si>
    <t>➖Bicicletas:</t>
  </si>
  <si>
    <t>🟰🟰 Total Vehículos:</t>
  </si>
  <si>
    <t>3️⃣ Ofrendas</t>
  </si>
  <si>
    <t>➕Canastas Ofrendas:</t>
  </si>
  <si>
    <r>
      <rPr>
        <sz val="10"/>
        <color rgb="FFFF0000"/>
        <rFont val="Tahoma"/>
      </rPr>
      <t>➖</t>
    </r>
    <r>
      <rPr>
        <sz val="10"/>
        <color rgb="FF000000"/>
        <rFont val="Tahoma"/>
      </rPr>
      <t xml:space="preserve"> Entregadas: </t>
    </r>
  </si>
  <si>
    <t>➕Sobres Ofrendas</t>
  </si>
  <si>
    <t>➖Inicial Ofrendas:</t>
  </si>
  <si>
    <t>➖Recibidos:</t>
  </si>
  <si>
    <t>🟰Total:</t>
  </si>
  <si>
    <t>➖Entregados:</t>
  </si>
  <si>
    <t>🟰🟰Final Ofrendas:</t>
  </si>
  <si>
    <t>➕Sobres Protemplo</t>
  </si>
  <si>
    <t>➖Inicial Primicias:</t>
  </si>
  <si>
    <t xml:space="preserve">➖Recibidos: </t>
  </si>
  <si>
    <t>🟰🟰Final Protemplo:</t>
  </si>
  <si>
    <t>➕Sobres Iglekids</t>
  </si>
  <si>
    <t>➖Inicial Iglekids:</t>
  </si>
  <si>
    <t>➖Recibidos: 0</t>
  </si>
  <si>
    <t>🟰🟰Final Iglekids: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</si>
</sst>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/&quot;mmm&quot;/&quot;yyyy"/>
    <numFmt numFmtId="165" formatCode="d/m/yyyy\ h:mm:ss"/>
  </numFmts>
  <fonts count="40" x14ac:knownFonts="1">
    <font>
      <sz val="10"/>
      <color theme="1"/>
      <name val="Tahoma"/>
      <scheme val="minor"/>
    </font>
    <font>
      <sz val="10"/>
      <color theme="1"/>
      <name val="Tahoma"/>
      <scheme val="minor"/>
    </font>
    <font>
      <b/>
      <u/>
      <sz val="22"/>
      <color rgb="FFFF0000"/>
      <name val="Tahoma"/>
    </font>
    <font>
      <b/>
      <u/>
      <sz val="22"/>
      <color rgb="FFFF0000"/>
      <name val="Tahoma"/>
    </font>
    <font>
      <b/>
      <u/>
      <sz val="16"/>
      <color theme="0"/>
      <name val="Tahoma"/>
    </font>
    <font>
      <sz val="10"/>
      <name val="Tahoma"/>
    </font>
    <font>
      <sz val="10"/>
      <color theme="1"/>
      <name val="Tahoma"/>
    </font>
    <font>
      <b/>
      <u/>
      <sz val="16"/>
      <color theme="0"/>
      <name val="Tahoma"/>
    </font>
    <font>
      <b/>
      <sz val="10"/>
      <color theme="1"/>
      <name val="Tahoma"/>
      <scheme val="minor"/>
    </font>
    <font>
      <b/>
      <sz val="73"/>
      <color theme="1"/>
      <name val="Tahoma"/>
    </font>
    <font>
      <sz val="12"/>
      <color theme="1"/>
      <name val="Tahoma"/>
    </font>
    <font>
      <b/>
      <u/>
      <sz val="15"/>
      <color theme="0"/>
      <name val="Tahoma"/>
    </font>
    <font>
      <sz val="10"/>
      <color theme="1"/>
      <name val="Tahoma"/>
    </font>
    <font>
      <sz val="10"/>
      <color rgb="FF00B050"/>
      <name val="Tahoma"/>
    </font>
    <font>
      <sz val="10"/>
      <color rgb="FFFFFF00"/>
      <name val="Tahoma"/>
    </font>
    <font>
      <sz val="10"/>
      <color rgb="FFFF0000"/>
      <name val="Tahoma"/>
    </font>
    <font>
      <sz val="10"/>
      <color theme="1"/>
      <name val="Arial"/>
    </font>
    <font>
      <sz val="18"/>
      <color theme="1"/>
      <name val="Calibri"/>
    </font>
    <font>
      <b/>
      <u/>
      <sz val="14"/>
      <color theme="0"/>
      <name val="Tahoma"/>
    </font>
    <font>
      <i/>
      <sz val="18"/>
      <color theme="1"/>
      <name val="Calibri"/>
    </font>
    <font>
      <b/>
      <sz val="10"/>
      <color theme="1"/>
      <name val="Tahoma"/>
    </font>
    <font>
      <b/>
      <sz val="14"/>
      <color theme="0"/>
      <name val="Tahoma"/>
    </font>
    <font>
      <b/>
      <sz val="10"/>
      <color theme="1"/>
      <name val="Amasis MT Pro Medium"/>
    </font>
    <font>
      <b/>
      <u/>
      <sz val="14"/>
      <color theme="0"/>
      <name val="Tahoma"/>
    </font>
    <font>
      <b/>
      <sz val="12"/>
      <color theme="1"/>
      <name val="Tahoma"/>
    </font>
    <font>
      <sz val="10"/>
      <color theme="1"/>
      <name val="Amasis MT Pro Medium"/>
    </font>
    <font>
      <b/>
      <sz val="14"/>
      <color theme="1"/>
      <name val="Tahoma"/>
    </font>
    <font>
      <sz val="14"/>
      <color theme="1"/>
      <name val="Tahoma"/>
    </font>
    <font>
      <b/>
      <sz val="16"/>
      <color theme="1"/>
      <name val="Tahoma"/>
    </font>
    <font>
      <sz val="17"/>
      <color theme="1"/>
      <name val="Tahoma"/>
    </font>
    <font>
      <b/>
      <sz val="17"/>
      <color theme="1"/>
      <name val="Tahoma"/>
    </font>
    <font>
      <b/>
      <sz val="9"/>
      <color theme="1"/>
      <name val="Tahoma"/>
    </font>
    <font>
      <u/>
      <sz val="10"/>
      <color theme="1"/>
      <name val="Tahoma"/>
    </font>
    <font>
      <sz val="10"/>
      <color theme="1"/>
      <name val="Arial"/>
    </font>
    <font>
      <b/>
      <sz val="10"/>
      <color theme="1"/>
      <name val="Arial"/>
    </font>
    <font>
      <sz val="10"/>
      <color rgb="FF00B050"/>
      <name val="Tahoma"/>
    </font>
    <font>
      <sz val="10"/>
      <color rgb="FFFFFF00"/>
      <name val="Tahoma"/>
    </font>
    <font>
      <sz val="10"/>
      <color rgb="FFFF0000"/>
      <name val="Tahoma"/>
    </font>
    <font>
      <b/>
      <sz val="16"/>
      <color theme="1"/>
      <name val="Amasis MT Pro Medium"/>
    </font>
    <font>
      <sz val="10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B5394"/>
        <bgColor rgb="FF0B5394"/>
      </patternFill>
    </fill>
    <fill>
      <patternFill patternType="solid">
        <fgColor rgb="FF2F5496"/>
        <bgColor rgb="FF2F5496"/>
      </patternFill>
    </fill>
    <fill>
      <patternFill patternType="solid">
        <fgColor rgb="FFFFD966"/>
        <bgColor rgb="FFFFD966"/>
      </patternFill>
    </fill>
    <fill>
      <patternFill patternType="solid">
        <fgColor rgb="FFFF0000"/>
        <bgColor rgb="FFFF0000"/>
      </patternFill>
    </fill>
    <fill>
      <patternFill patternType="solid">
        <fgColor rgb="FF9CC2E5"/>
        <bgColor rgb="FF9CC2E5"/>
      </patternFill>
    </fill>
    <fill>
      <patternFill patternType="solid">
        <fgColor rgb="FF00B0F0"/>
        <bgColor rgb="FF00B0F0"/>
      </patternFill>
    </fill>
    <fill>
      <patternFill patternType="solid">
        <fgColor rgb="FF28F84B"/>
        <bgColor rgb="FF28F84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1C232"/>
        <bgColor rgb="FFF1C232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7F7F7F"/>
        <bgColor rgb="FF7F7F7F"/>
      </patternFill>
    </fill>
  </fills>
  <borders count="4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3" xfId="0" applyFont="1" applyFill="1" applyBorder="1" applyAlignment="1">
      <alignment horizontal="center"/>
    </xf>
    <xf numFmtId="0" fontId="8" fillId="3" borderId="0" xfId="0" applyFont="1" applyFill="1"/>
    <xf numFmtId="0" fontId="6" fillId="0" borderId="0" xfId="0" applyFont="1"/>
    <xf numFmtId="0" fontId="10" fillId="0" borderId="0" xfId="0" applyFont="1"/>
    <xf numFmtId="164" fontId="10" fillId="0" borderId="0" xfId="0" applyNumberFormat="1" applyFont="1"/>
    <xf numFmtId="0" fontId="10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2" fillId="0" borderId="0" xfId="0" applyFont="1"/>
    <xf numFmtId="0" fontId="12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1" fontId="12" fillId="0" borderId="0" xfId="0" applyNumberFormat="1" applyFont="1" applyAlignment="1">
      <alignment horizontal="right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horizontal="right" wrapText="1"/>
    </xf>
    <xf numFmtId="3" fontId="12" fillId="0" borderId="0" xfId="0" applyNumberFormat="1" applyFont="1" applyAlignment="1">
      <alignment horizontal="right" wrapText="1"/>
    </xf>
    <xf numFmtId="3" fontId="12" fillId="0" borderId="0" xfId="0" applyNumberFormat="1" applyFont="1"/>
    <xf numFmtId="3" fontId="16" fillId="0" borderId="0" xfId="0" applyNumberFormat="1" applyFont="1" applyAlignment="1">
      <alignment horizontal="right" wrapText="1"/>
    </xf>
    <xf numFmtId="0" fontId="17" fillId="7" borderId="3" xfId="0" applyFont="1" applyFill="1" applyBorder="1"/>
    <xf numFmtId="0" fontId="17" fillId="7" borderId="3" xfId="0" applyFont="1" applyFill="1" applyBorder="1" applyAlignment="1">
      <alignment horizontal="center"/>
    </xf>
    <xf numFmtId="0" fontId="17" fillId="0" borderId="3" xfId="0" applyFont="1" applyBorder="1"/>
    <xf numFmtId="0" fontId="19" fillId="0" borderId="3" xfId="0" applyFont="1" applyBorder="1"/>
    <xf numFmtId="164" fontId="10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/>
    <xf numFmtId="0" fontId="22" fillId="8" borderId="20" xfId="0" applyFont="1" applyFill="1" applyBorder="1"/>
    <xf numFmtId="164" fontId="6" fillId="0" borderId="21" xfId="0" applyNumberFormat="1" applyFont="1" applyBorder="1" applyAlignment="1">
      <alignment horizontal="center" vertical="center"/>
    </xf>
    <xf numFmtId="0" fontId="6" fillId="0" borderId="22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20" fillId="2" borderId="23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9" borderId="23" xfId="0" applyFont="1" applyFill="1" applyBorder="1" applyAlignment="1">
      <alignment horizontal="center" vertical="center"/>
    </xf>
    <xf numFmtId="0" fontId="6" fillId="0" borderId="24" xfId="0" applyFont="1" applyBorder="1"/>
    <xf numFmtId="0" fontId="6" fillId="0" borderId="25" xfId="0" applyFont="1" applyBorder="1"/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/>
    <xf numFmtId="0" fontId="6" fillId="2" borderId="23" xfId="0" applyFont="1" applyFill="1" applyBorder="1" applyAlignment="1">
      <alignment horizontal="center" vertical="center"/>
    </xf>
    <xf numFmtId="0" fontId="20" fillId="10" borderId="23" xfId="0" applyFont="1" applyFill="1" applyBorder="1" applyAlignment="1">
      <alignment horizontal="center" vertical="center"/>
    </xf>
    <xf numFmtId="0" fontId="20" fillId="0" borderId="21" xfId="0" applyFont="1" applyBorder="1"/>
    <xf numFmtId="0" fontId="6" fillId="0" borderId="21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right"/>
    </xf>
    <xf numFmtId="0" fontId="20" fillId="0" borderId="17" xfId="0" applyFont="1" applyBorder="1"/>
    <xf numFmtId="0" fontId="6" fillId="0" borderId="17" xfId="0" applyFont="1" applyBorder="1" applyAlignment="1">
      <alignment horizontal="right"/>
    </xf>
    <xf numFmtId="0" fontId="22" fillId="0" borderId="0" xfId="0" applyFont="1"/>
    <xf numFmtId="14" fontId="6" fillId="0" borderId="0" xfId="0" applyNumberFormat="1" applyFont="1" applyAlignment="1">
      <alignment horizontal="right"/>
    </xf>
    <xf numFmtId="0" fontId="6" fillId="0" borderId="3" xfId="0" applyFont="1" applyBorder="1"/>
    <xf numFmtId="0" fontId="20" fillId="0" borderId="3" xfId="0" applyFont="1" applyBorder="1" applyAlignment="1">
      <alignment horizontal="center"/>
    </xf>
    <xf numFmtId="0" fontId="6" fillId="0" borderId="25" xfId="0" applyFont="1" applyBorder="1" applyAlignment="1">
      <alignment horizontal="right"/>
    </xf>
    <xf numFmtId="0" fontId="25" fillId="0" borderId="0" xfId="0" applyFont="1"/>
    <xf numFmtId="0" fontId="24" fillId="0" borderId="19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22" xfId="0" applyFont="1" applyBorder="1" applyAlignment="1">
      <alignment horizontal="center"/>
    </xf>
    <xf numFmtId="0" fontId="20" fillId="0" borderId="3" xfId="0" applyFont="1" applyBorder="1" applyAlignment="1">
      <alignment horizontal="right"/>
    </xf>
    <xf numFmtId="0" fontId="24" fillId="0" borderId="3" xfId="0" applyFont="1" applyBorder="1"/>
    <xf numFmtId="0" fontId="24" fillId="11" borderId="3" xfId="0" applyFont="1" applyFill="1" applyBorder="1" applyAlignment="1">
      <alignment horizontal="right"/>
    </xf>
    <xf numFmtId="0" fontId="20" fillId="0" borderId="25" xfId="0" applyFont="1" applyBorder="1"/>
    <xf numFmtId="0" fontId="20" fillId="0" borderId="0" xfId="0" applyFont="1"/>
    <xf numFmtId="0" fontId="20" fillId="0" borderId="19" xfId="0" applyFont="1" applyBorder="1" applyAlignment="1">
      <alignment horizontal="center" vertical="center" textRotation="90" wrapText="1"/>
    </xf>
    <xf numFmtId="0" fontId="26" fillId="0" borderId="3" xfId="0" applyFont="1" applyBorder="1"/>
    <xf numFmtId="0" fontId="27" fillId="11" borderId="3" xfId="0" applyFont="1" applyFill="1" applyBorder="1" applyAlignment="1">
      <alignment horizontal="right"/>
    </xf>
    <xf numFmtId="0" fontId="26" fillId="12" borderId="3" xfId="0" applyFont="1" applyFill="1" applyBorder="1" applyAlignment="1">
      <alignment horizontal="right"/>
    </xf>
    <xf numFmtId="3" fontId="6" fillId="0" borderId="0" xfId="0" applyNumberFormat="1" applyFont="1"/>
    <xf numFmtId="3" fontId="24" fillId="8" borderId="3" xfId="0" applyNumberFormat="1" applyFont="1" applyFill="1" applyBorder="1" applyAlignment="1">
      <alignment horizontal="center"/>
    </xf>
    <xf numFmtId="3" fontId="10" fillId="13" borderId="3" xfId="0" applyNumberFormat="1" applyFont="1" applyFill="1" applyBorder="1"/>
    <xf numFmtId="3" fontId="24" fillId="0" borderId="3" xfId="0" applyNumberFormat="1" applyFont="1" applyBorder="1" applyAlignment="1">
      <alignment horizontal="center"/>
    </xf>
    <xf numFmtId="0" fontId="29" fillId="14" borderId="0" xfId="0" applyFont="1" applyFill="1"/>
    <xf numFmtId="0" fontId="30" fillId="14" borderId="0" xfId="0" applyFont="1" applyFill="1"/>
    <xf numFmtId="3" fontId="27" fillId="0" borderId="0" xfId="0" applyNumberFormat="1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0" fillId="8" borderId="20" xfId="0" applyFont="1" applyFill="1" applyBorder="1"/>
    <xf numFmtId="14" fontId="6" fillId="0" borderId="0" xfId="0" applyNumberFormat="1" applyFont="1" applyAlignment="1">
      <alignment horizontal="center"/>
    </xf>
    <xf numFmtId="0" fontId="31" fillId="0" borderId="3" xfId="0" applyFont="1" applyBorder="1" applyAlignment="1">
      <alignment vertical="center"/>
    </xf>
    <xf numFmtId="0" fontId="31" fillId="0" borderId="3" xfId="0" applyFont="1" applyBorder="1" applyAlignment="1">
      <alignment horizontal="center" vertical="center"/>
    </xf>
    <xf numFmtId="0" fontId="6" fillId="15" borderId="3" xfId="0" applyFont="1" applyFill="1" applyBorder="1"/>
    <xf numFmtId="0" fontId="20" fillId="0" borderId="3" xfId="0" applyFont="1" applyBorder="1"/>
    <xf numFmtId="0" fontId="32" fillId="0" borderId="0" xfId="0" applyFont="1"/>
    <xf numFmtId="0" fontId="20" fillId="0" borderId="3" xfId="0" applyFont="1" applyBorder="1" applyAlignment="1">
      <alignment horizontal="left" vertical="center"/>
    </xf>
    <xf numFmtId="0" fontId="6" fillId="0" borderId="0" xfId="0" applyFont="1" applyAlignment="1">
      <alignment horizontal="center" wrapText="1"/>
    </xf>
    <xf numFmtId="0" fontId="33" fillId="0" borderId="0" xfId="0" applyFont="1" applyAlignment="1">
      <alignment wrapText="1"/>
    </xf>
    <xf numFmtId="14" fontId="6" fillId="0" borderId="0" xfId="0" applyNumberFormat="1" applyFont="1" applyAlignment="1">
      <alignment horizontal="left" wrapText="1"/>
    </xf>
    <xf numFmtId="0" fontId="6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34" fillId="0" borderId="0" xfId="0" applyFont="1" applyAlignment="1">
      <alignment horizontal="left" wrapText="1"/>
    </xf>
    <xf numFmtId="0" fontId="33" fillId="0" borderId="0" xfId="0" applyFont="1" applyAlignment="1">
      <alignment horizontal="left" wrapText="1"/>
    </xf>
    <xf numFmtId="0" fontId="6" fillId="0" borderId="0" xfId="0" applyFont="1" applyAlignment="1">
      <alignment horizontal="right" wrapText="1"/>
    </xf>
    <xf numFmtId="0" fontId="36" fillId="0" borderId="0" xfId="0" applyFont="1" applyAlignment="1">
      <alignment wrapText="1"/>
    </xf>
    <xf numFmtId="1" fontId="6" fillId="0" borderId="0" xfId="0" applyNumberFormat="1" applyFont="1" applyAlignment="1">
      <alignment horizontal="right" wrapText="1"/>
    </xf>
    <xf numFmtId="0" fontId="37" fillId="0" borderId="0" xfId="0" applyFont="1" applyAlignment="1">
      <alignment wrapText="1"/>
    </xf>
    <xf numFmtId="3" fontId="6" fillId="0" borderId="0" xfId="0" applyNumberFormat="1" applyFont="1" applyAlignment="1">
      <alignment horizontal="right" wrapText="1"/>
    </xf>
    <xf numFmtId="3" fontId="33" fillId="0" borderId="0" xfId="0" applyNumberFormat="1" applyFont="1" applyAlignment="1">
      <alignment wrapText="1"/>
    </xf>
    <xf numFmtId="0" fontId="1" fillId="3" borderId="0" xfId="0" applyFont="1" applyFill="1"/>
    <xf numFmtId="0" fontId="0" fillId="0" borderId="0" xfId="0"/>
    <xf numFmtId="0" fontId="13" fillId="0" borderId="0" xfId="0" applyFont="1" applyAlignment="1">
      <alignment wrapText="1"/>
    </xf>
    <xf numFmtId="0" fontId="2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0" borderId="2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11" fillId="4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6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1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5" fillId="0" borderId="27" xfId="0" applyFont="1" applyBorder="1"/>
    <xf numFmtId="0" fontId="5" fillId="0" borderId="28" xfId="0" applyFont="1" applyBorder="1"/>
    <xf numFmtId="0" fontId="23" fillId="6" borderId="4" xfId="0" applyFont="1" applyFill="1" applyBorder="1" applyAlignment="1">
      <alignment horizontal="center" vertical="center"/>
    </xf>
    <xf numFmtId="0" fontId="5" fillId="0" borderId="29" xfId="0" applyFont="1" applyBorder="1"/>
    <xf numFmtId="0" fontId="5" fillId="0" borderId="21" xfId="0" applyFont="1" applyBorder="1"/>
    <xf numFmtId="0" fontId="24" fillId="8" borderId="30" xfId="0" applyFont="1" applyFill="1" applyBorder="1" applyAlignment="1">
      <alignment horizontal="center"/>
    </xf>
    <xf numFmtId="0" fontId="5" fillId="0" borderId="31" xfId="0" applyFont="1" applyBorder="1"/>
    <xf numFmtId="0" fontId="5" fillId="0" borderId="32" xfId="0" applyFont="1" applyBorder="1"/>
    <xf numFmtId="0" fontId="20" fillId="0" borderId="33" xfId="0" applyFont="1" applyBorder="1" applyAlignment="1">
      <alignment horizontal="center" vertical="center" textRotation="90" wrapText="1"/>
    </xf>
    <xf numFmtId="0" fontId="5" fillId="0" borderId="34" xfId="0" applyFont="1" applyBorder="1"/>
    <xf numFmtId="0" fontId="5" fillId="0" borderId="35" xfId="0" applyFont="1" applyBorder="1"/>
    <xf numFmtId="0" fontId="28" fillId="0" borderId="0" xfId="0" applyFont="1" applyAlignment="1">
      <alignment horizontal="center" vertical="center"/>
    </xf>
    <xf numFmtId="164" fontId="6" fillId="0" borderId="21" xfId="0" applyNumberFormat="1" applyFont="1" applyBorder="1" applyAlignment="1">
      <alignment horizontal="center" vertical="center"/>
    </xf>
    <xf numFmtId="0" fontId="26" fillId="8" borderId="36" xfId="0" applyFont="1" applyFill="1" applyBorder="1" applyAlignment="1">
      <alignment horizontal="center"/>
    </xf>
    <xf numFmtId="0" fontId="5" fillId="0" borderId="37" xfId="0" applyFont="1" applyBorder="1"/>
    <xf numFmtId="0" fontId="5" fillId="0" borderId="38" xfId="0" applyFont="1" applyBorder="1"/>
    <xf numFmtId="0" fontId="26" fillId="8" borderId="39" xfId="0" applyFont="1" applyFill="1" applyBorder="1" applyAlignment="1">
      <alignment horizontal="center" vertical="center"/>
    </xf>
    <xf numFmtId="0" fontId="5" fillId="0" borderId="40" xfId="0" applyFont="1" applyBorder="1"/>
    <xf numFmtId="0" fontId="20" fillId="0" borderId="1" xfId="0" applyFont="1" applyBorder="1" applyAlignment="1">
      <alignment horizontal="left" vertical="center"/>
    </xf>
    <xf numFmtId="0" fontId="5" fillId="0" borderId="41" xfId="0" applyFont="1" applyBorder="1"/>
    <xf numFmtId="0" fontId="6" fillId="0" borderId="0" xfId="0" applyFont="1" applyAlignment="1">
      <alignment horizontal="center" wrapText="1"/>
    </xf>
    <xf numFmtId="0" fontId="3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142875</xdr:colOff>
      <xdr:row>8</xdr:row>
      <xdr:rowOff>95250</xdr:rowOff>
    </xdr:from>
    <xdr:to>
      <xdr:col>8</xdr:col>
      <xdr:colOff>142875</xdr:colOff>
      <xdr:row>14</xdr:row>
      <xdr:rowOff>38100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A03767CB-4F06-7DB6-1867-21B99DA7FC3E}"/>
            </a:ext>
          </a:extLst>
        </xdr:cNvPr>
        <xdr:cNvSpPr txBox="1">
          <a:spLocks noChangeArrowheads="1"/>
        </xdr:cNvSpPr>
      </xdr:nvSpPr>
      <xdr:spPr bwMode="auto">
        <a:xfrm>
          <a:off x="3590925" y="2162175"/>
          <a:ext cx="1828800" cy="1885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8</xdr:row>
      <xdr:rowOff>95250</xdr:rowOff>
    </xdr:from>
    <xdr:to>
      <xdr:col>8</xdr:col>
      <xdr:colOff>142875</xdr:colOff>
      <xdr:row>14</xdr:row>
      <xdr:rowOff>38100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B8CA952F-4F3C-D60E-2FBA-7E5EE38367DF}"/>
            </a:ext>
          </a:extLst>
        </xdr:cNvPr>
        <xdr:cNvSpPr txBox="1">
          <a:spLocks noChangeArrowheads="1"/>
        </xdr:cNvSpPr>
      </xdr:nvSpPr>
      <xdr:spPr bwMode="auto">
        <a:xfrm>
          <a:off x="3590925" y="2162175"/>
          <a:ext cx="1828800" cy="1885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4</xdr:col>
      <xdr:colOff>142875</xdr:colOff>
      <xdr:row>8</xdr:row>
      <xdr:rowOff>95250</xdr:rowOff>
    </xdr:from>
    <xdr:to>
      <xdr:col>8</xdr:col>
      <xdr:colOff>142875</xdr:colOff>
      <xdr:row>14</xdr:row>
      <xdr:rowOff>38100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B76CE0FE-BE7D-3B8B-F0C7-B83A1886308F}"/>
            </a:ext>
          </a:extLst>
        </xdr:cNvPr>
        <xdr:cNvSpPr txBox="1">
          <a:spLocks noChangeArrowheads="1"/>
        </xdr:cNvSpPr>
      </xdr:nvSpPr>
      <xdr:spPr bwMode="auto">
        <a:xfrm>
          <a:off x="3590925" y="2162175"/>
          <a:ext cx="1828800" cy="188595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abio Bolivar" id="{88480837-37E9-4110-A9C8-79E4A2F029BA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" dT="2025-06-15T14:09:35.00" personId="{88480837-37E9-4110-A9C8-79E4A2F029BA}" id="{19ACEBF7-A1CC-4F2B-B630-57071B5031CE}" done="1">
    <text>134</text>
  </threadedComment>
  <threadedComment ref="D13" dT="2025-06-07T01:23:42.00" personId="{88480837-37E9-4110-A9C8-79E4A2F029BA}" id="{17CB8D34-499B-4D51-AF87-C7B3C1632587}" done="1">
    <text>8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A1001"/>
  <sheetViews>
    <sheetView showGridLines="0" workbookViewId="0"/>
  </sheetViews>
  <sheetFormatPr baseColWidth="10" defaultColWidth="14.42578125" defaultRowHeight="15" customHeight="1" x14ac:dyDescent="0.2"/>
  <cols>
    <col min="1" max="1" width="3.85546875" customWidth="1"/>
    <col min="2" max="2" width="2.85546875" customWidth="1"/>
    <col min="3" max="3" width="12" customWidth="1"/>
    <col min="4" max="4" width="13.5703125" customWidth="1"/>
    <col min="5" max="5" width="2.85546875" customWidth="1"/>
    <col min="6" max="6" width="26.5703125" customWidth="1"/>
    <col min="7" max="7" width="3.140625" customWidth="1"/>
    <col min="8" max="12" width="10.7109375" customWidth="1"/>
  </cols>
  <sheetData>
    <row r="1" spans="1:27" ht="12.7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.75" customHeight="1" x14ac:dyDescent="0.2">
      <c r="A2" s="1"/>
      <c r="B2" s="2"/>
      <c r="C2" s="2"/>
      <c r="D2" s="2"/>
      <c r="E2" s="2"/>
      <c r="F2" s="2"/>
      <c r="G2" s="2"/>
    </row>
    <row r="3" spans="1:27" ht="22.5" customHeight="1" x14ac:dyDescent="0.35">
      <c r="A3" s="1"/>
      <c r="B3" s="2"/>
      <c r="C3" s="108" t="s">
        <v>0</v>
      </c>
      <c r="D3" s="106"/>
      <c r="E3" s="106"/>
      <c r="F3" s="106"/>
      <c r="G3" s="3"/>
    </row>
    <row r="4" spans="1:27" ht="12.75" customHeight="1" x14ac:dyDescent="0.2">
      <c r="A4" s="1"/>
      <c r="B4" s="2"/>
      <c r="C4" s="2"/>
      <c r="D4" s="2"/>
      <c r="E4" s="2"/>
      <c r="F4" s="2"/>
      <c r="G4" s="2"/>
    </row>
    <row r="5" spans="1:27" ht="12.75" customHeight="1" x14ac:dyDescent="0.2">
      <c r="A5" s="1"/>
      <c r="B5" s="2"/>
      <c r="C5" s="2"/>
      <c r="D5" s="2"/>
      <c r="E5" s="2"/>
      <c r="F5" s="2"/>
      <c r="G5" s="2"/>
    </row>
    <row r="6" spans="1:27" ht="18.75" customHeight="1" x14ac:dyDescent="0.25">
      <c r="A6" s="1"/>
      <c r="B6" s="2"/>
      <c r="C6" s="109" t="s">
        <v>1</v>
      </c>
      <c r="D6" s="110"/>
      <c r="E6" s="4"/>
      <c r="F6" s="5" t="s">
        <v>2</v>
      </c>
      <c r="G6" s="2"/>
    </row>
    <row r="7" spans="1:27" ht="18.75" customHeight="1" x14ac:dyDescent="0.2">
      <c r="A7" s="1"/>
      <c r="B7" s="2"/>
      <c r="C7" s="2"/>
      <c r="D7" s="2"/>
      <c r="E7" s="2"/>
      <c r="F7" s="6"/>
      <c r="G7" s="2"/>
      <c r="L7" s="7"/>
    </row>
    <row r="8" spans="1:27" ht="18.75" customHeight="1" x14ac:dyDescent="0.25">
      <c r="A8" s="1"/>
      <c r="B8" s="2"/>
      <c r="C8" s="111" t="s">
        <v>3</v>
      </c>
      <c r="D8" s="112"/>
      <c r="E8" s="4"/>
      <c r="F8" s="5" t="s">
        <v>4</v>
      </c>
      <c r="G8" s="2"/>
    </row>
    <row r="9" spans="1:27" ht="18.75" customHeight="1" x14ac:dyDescent="0.2">
      <c r="A9" s="1"/>
      <c r="B9" s="2"/>
      <c r="C9" s="113"/>
      <c r="D9" s="114"/>
      <c r="E9" s="2"/>
      <c r="F9" s="2"/>
      <c r="G9" s="2"/>
    </row>
    <row r="10" spans="1:27" ht="18.75" customHeight="1" x14ac:dyDescent="0.25">
      <c r="A10" s="1"/>
      <c r="B10" s="2"/>
      <c r="C10" s="113"/>
      <c r="D10" s="114"/>
      <c r="E10" s="4"/>
      <c r="F10" s="5" t="s">
        <v>5</v>
      </c>
      <c r="G10" s="2"/>
    </row>
    <row r="11" spans="1:27" ht="18.75" customHeight="1" x14ac:dyDescent="0.2">
      <c r="A11" s="1"/>
      <c r="B11" s="2"/>
      <c r="C11" s="113"/>
      <c r="D11" s="114"/>
      <c r="E11" s="2"/>
      <c r="F11" s="2"/>
      <c r="G11" s="2"/>
    </row>
    <row r="12" spans="1:27" ht="18.75" customHeight="1" x14ac:dyDescent="0.25">
      <c r="A12" s="1"/>
      <c r="B12" s="2"/>
      <c r="C12" s="115"/>
      <c r="D12" s="116"/>
      <c r="E12" s="4"/>
      <c r="F12" s="5" t="s">
        <v>6</v>
      </c>
      <c r="G12" s="2"/>
      <c r="I12" s="8"/>
      <c r="J12" s="7"/>
    </row>
    <row r="13" spans="1:27" ht="18.75" customHeight="1" x14ac:dyDescent="0.2">
      <c r="A13" s="1"/>
      <c r="B13" s="2"/>
      <c r="C13" s="2"/>
      <c r="D13" s="2"/>
      <c r="E13" s="2"/>
      <c r="F13" s="2"/>
      <c r="G13" s="2"/>
      <c r="I13" s="9"/>
      <c r="J13" s="8"/>
    </row>
    <row r="14" spans="1:27" ht="18.75" customHeight="1" x14ac:dyDescent="0.25">
      <c r="A14" s="1"/>
      <c r="B14" s="2"/>
      <c r="C14" s="117" t="s">
        <v>7</v>
      </c>
      <c r="D14" s="110"/>
      <c r="E14" s="2"/>
      <c r="F14" s="5" t="s">
        <v>8</v>
      </c>
      <c r="G14" s="2"/>
      <c r="I14" s="8"/>
      <c r="J14" s="7"/>
    </row>
    <row r="15" spans="1:27" ht="12.75" customHeight="1" x14ac:dyDescent="0.2">
      <c r="A15" s="1"/>
      <c r="B15" s="105"/>
      <c r="C15" s="106"/>
      <c r="D15" s="106"/>
      <c r="E15" s="106"/>
      <c r="F15" s="106"/>
      <c r="G15" s="106"/>
      <c r="I15" s="8"/>
      <c r="J15" s="10"/>
    </row>
    <row r="16" spans="1:27" ht="12.75" customHeight="1" x14ac:dyDescent="0.2">
      <c r="A16" s="1"/>
      <c r="B16" s="105"/>
      <c r="C16" s="106"/>
      <c r="D16" s="106"/>
      <c r="E16" s="106"/>
      <c r="F16" s="106"/>
      <c r="G16" s="106"/>
      <c r="I16" s="8"/>
      <c r="J16" s="10"/>
    </row>
    <row r="17" spans="1:10" ht="12.75" customHeight="1" x14ac:dyDescent="0.2">
      <c r="A17" s="1"/>
      <c r="B17" s="105"/>
      <c r="C17" s="106"/>
      <c r="D17" s="106"/>
      <c r="E17" s="106"/>
      <c r="F17" s="106"/>
      <c r="G17" s="106"/>
      <c r="I17" s="8"/>
      <c r="J17" s="10"/>
    </row>
    <row r="18" spans="1:10" ht="12.75" customHeight="1" x14ac:dyDescent="0.2">
      <c r="A18" s="1"/>
      <c r="B18" s="105"/>
      <c r="C18" s="106"/>
      <c r="D18" s="106"/>
      <c r="E18" s="106"/>
      <c r="F18" s="106"/>
      <c r="G18" s="106"/>
    </row>
    <row r="19" spans="1:10" ht="12.75" customHeight="1" x14ac:dyDescent="0.2">
      <c r="A19" s="1"/>
      <c r="B19" s="105"/>
      <c r="C19" s="106"/>
      <c r="D19" s="106"/>
      <c r="E19" s="106"/>
      <c r="F19" s="106"/>
      <c r="G19" s="106"/>
    </row>
    <row r="20" spans="1:10" ht="12.75" customHeight="1" x14ac:dyDescent="0.2">
      <c r="A20" s="1"/>
      <c r="F20" s="11"/>
      <c r="G20" s="12"/>
    </row>
    <row r="21" spans="1:10" ht="12.75" customHeight="1" x14ac:dyDescent="0.2">
      <c r="A21" s="1"/>
      <c r="F21" s="12"/>
      <c r="G21" s="12"/>
    </row>
    <row r="22" spans="1:10" ht="12.75" customHeight="1" x14ac:dyDescent="0.2">
      <c r="A22" s="1"/>
      <c r="F22" s="107"/>
      <c r="G22" s="106"/>
    </row>
    <row r="23" spans="1:10" ht="12.75" customHeight="1" x14ac:dyDescent="0.2">
      <c r="A23" s="1"/>
      <c r="F23" s="12"/>
      <c r="G23" s="12"/>
    </row>
    <row r="24" spans="1:10" ht="12.75" customHeight="1" x14ac:dyDescent="0.2">
      <c r="A24" s="1"/>
      <c r="F24" s="11"/>
      <c r="G24" s="13"/>
    </row>
    <row r="25" spans="1:10" ht="12.75" customHeight="1" x14ac:dyDescent="0.2">
      <c r="A25" s="1"/>
      <c r="F25" s="11"/>
      <c r="G25" s="13"/>
    </row>
    <row r="26" spans="1:10" ht="12.75" customHeight="1" x14ac:dyDescent="0.2">
      <c r="A26" s="1"/>
      <c r="F26" s="11"/>
      <c r="G26" s="13"/>
    </row>
    <row r="27" spans="1:10" ht="12.75" customHeight="1" x14ac:dyDescent="0.2">
      <c r="A27" s="1"/>
      <c r="F27" s="11"/>
      <c r="G27" s="13"/>
    </row>
    <row r="28" spans="1:10" ht="12.75" customHeight="1" x14ac:dyDescent="0.2">
      <c r="A28" s="1"/>
      <c r="F28" s="12"/>
      <c r="G28" s="12"/>
    </row>
    <row r="29" spans="1:10" ht="12.75" customHeight="1" x14ac:dyDescent="0.2">
      <c r="A29" s="1"/>
      <c r="F29" s="14"/>
      <c r="G29" s="13"/>
    </row>
    <row r="30" spans="1:10" ht="12.75" customHeight="1" x14ac:dyDescent="0.2">
      <c r="A30" s="1"/>
      <c r="F30" s="12"/>
      <c r="G30" s="12"/>
    </row>
    <row r="31" spans="1:10" ht="12.75" customHeight="1" x14ac:dyDescent="0.2">
      <c r="A31" s="1"/>
      <c r="F31" s="11"/>
      <c r="G31" s="12"/>
    </row>
    <row r="32" spans="1:10" ht="12.75" customHeight="1" x14ac:dyDescent="0.2">
      <c r="A32" s="1"/>
      <c r="F32" s="12"/>
      <c r="G32" s="12"/>
    </row>
    <row r="33" spans="1:7" ht="12.75" customHeight="1" x14ac:dyDescent="0.2">
      <c r="A33" s="1"/>
      <c r="F33" s="11"/>
      <c r="G33" s="13"/>
    </row>
    <row r="34" spans="1:7" ht="12.75" customHeight="1" x14ac:dyDescent="0.2">
      <c r="A34" s="1"/>
      <c r="F34" s="11"/>
      <c r="G34" s="13"/>
    </row>
    <row r="35" spans="1:7" ht="12.75" customHeight="1" x14ac:dyDescent="0.2">
      <c r="A35" s="1"/>
      <c r="F35" s="11"/>
      <c r="G35" s="13"/>
    </row>
    <row r="36" spans="1:7" ht="12.75" customHeight="1" x14ac:dyDescent="0.2">
      <c r="A36" s="1"/>
      <c r="F36" s="11"/>
      <c r="G36" s="13"/>
    </row>
    <row r="37" spans="1:7" ht="12.75" customHeight="1" x14ac:dyDescent="0.2">
      <c r="A37" s="1"/>
      <c r="F37" s="11"/>
      <c r="G37" s="13"/>
    </row>
    <row r="38" spans="1:7" ht="12.75" customHeight="1" x14ac:dyDescent="0.2">
      <c r="A38" s="1"/>
      <c r="F38" s="11"/>
      <c r="G38" s="13"/>
    </row>
    <row r="39" spans="1:7" ht="12.75" customHeight="1" x14ac:dyDescent="0.2">
      <c r="A39" s="1"/>
      <c r="F39" s="11"/>
      <c r="G39" s="13"/>
    </row>
    <row r="40" spans="1:7" ht="12.75" customHeight="1" x14ac:dyDescent="0.2">
      <c r="A40" s="1"/>
      <c r="F40" s="11"/>
      <c r="G40" s="13"/>
    </row>
    <row r="41" spans="1:7" ht="12.75" customHeight="1" x14ac:dyDescent="0.2">
      <c r="A41" s="1"/>
      <c r="F41" s="11"/>
      <c r="G41" s="13"/>
    </row>
    <row r="42" spans="1:7" ht="12.75" customHeight="1" x14ac:dyDescent="0.2">
      <c r="A42" s="1"/>
      <c r="F42" s="11"/>
      <c r="G42" s="13"/>
    </row>
    <row r="43" spans="1:7" ht="12.75" customHeight="1" x14ac:dyDescent="0.2">
      <c r="A43" s="1"/>
      <c r="F43" s="11"/>
      <c r="G43" s="13"/>
    </row>
    <row r="44" spans="1:7" ht="12.75" customHeight="1" x14ac:dyDescent="0.2">
      <c r="A44" s="1"/>
      <c r="F44" s="12"/>
      <c r="G44" s="12"/>
    </row>
    <row r="45" spans="1:7" ht="12.75" customHeight="1" x14ac:dyDescent="0.2">
      <c r="A45" s="1"/>
      <c r="F45" s="12"/>
      <c r="G45" s="12"/>
    </row>
    <row r="46" spans="1:7" ht="12.75" customHeight="1" x14ac:dyDescent="0.2">
      <c r="A46" s="1"/>
      <c r="F46" s="11"/>
      <c r="G46" s="13"/>
    </row>
    <row r="47" spans="1:7" ht="12.75" customHeight="1" x14ac:dyDescent="0.2">
      <c r="A47" s="1"/>
      <c r="F47" s="12"/>
      <c r="G47" s="12"/>
    </row>
    <row r="48" spans="1:7" ht="12.75" customHeight="1" x14ac:dyDescent="0.2">
      <c r="A48" s="1"/>
      <c r="F48" s="11"/>
      <c r="G48" s="15"/>
    </row>
    <row r="49" spans="1:7" ht="12.75" customHeight="1" x14ac:dyDescent="0.2">
      <c r="A49" s="1"/>
      <c r="F49" s="12"/>
      <c r="G49" s="12"/>
    </row>
    <row r="50" spans="1:7" ht="12.75" customHeight="1" x14ac:dyDescent="0.2">
      <c r="A50" s="1"/>
      <c r="F50" s="11"/>
      <c r="G50" s="12"/>
    </row>
    <row r="51" spans="1:7" ht="12.75" customHeight="1" x14ac:dyDescent="0.2">
      <c r="A51" s="1"/>
      <c r="F51" s="12"/>
      <c r="G51" s="12"/>
    </row>
    <row r="52" spans="1:7" ht="12.75" customHeight="1" x14ac:dyDescent="0.2">
      <c r="A52" s="1"/>
      <c r="F52" s="11"/>
      <c r="G52" s="13"/>
    </row>
    <row r="53" spans="1:7" ht="12.75" customHeight="1" x14ac:dyDescent="0.2">
      <c r="A53" s="1"/>
      <c r="F53" s="11"/>
      <c r="G53" s="13"/>
    </row>
    <row r="54" spans="1:7" ht="12.75" customHeight="1" x14ac:dyDescent="0.2">
      <c r="A54" s="1"/>
      <c r="F54" s="11"/>
      <c r="G54" s="13"/>
    </row>
    <row r="55" spans="1:7" ht="12.75" customHeight="1" x14ac:dyDescent="0.2">
      <c r="A55" s="1"/>
      <c r="F55" s="12"/>
      <c r="G55" s="12"/>
    </row>
    <row r="56" spans="1:7" ht="12.75" customHeight="1" x14ac:dyDescent="0.2">
      <c r="A56" s="1"/>
      <c r="F56" s="11"/>
      <c r="G56" s="13"/>
    </row>
    <row r="57" spans="1:7" ht="12.75" customHeight="1" x14ac:dyDescent="0.2">
      <c r="A57" s="1"/>
      <c r="F57" s="12"/>
      <c r="G57" s="12"/>
    </row>
    <row r="58" spans="1:7" ht="12.75" customHeight="1" x14ac:dyDescent="0.2">
      <c r="A58" s="1"/>
      <c r="F58" s="11"/>
      <c r="G58" s="12"/>
    </row>
    <row r="59" spans="1:7" ht="12.75" customHeight="1" x14ac:dyDescent="0.2">
      <c r="A59" s="1"/>
      <c r="F59" s="12"/>
      <c r="G59" s="12"/>
    </row>
    <row r="60" spans="1:7" ht="12.75" customHeight="1" x14ac:dyDescent="0.2">
      <c r="A60" s="1"/>
      <c r="F60" s="11"/>
      <c r="G60" s="12"/>
    </row>
    <row r="61" spans="1:7" ht="12.75" customHeight="1" x14ac:dyDescent="0.2">
      <c r="A61" s="1"/>
      <c r="F61" s="12"/>
      <c r="G61" s="12"/>
    </row>
    <row r="62" spans="1:7" ht="12.75" customHeight="1" x14ac:dyDescent="0.2">
      <c r="A62" s="1"/>
      <c r="F62" s="16"/>
      <c r="G62" s="17"/>
    </row>
    <row r="63" spans="1:7" ht="12.75" customHeight="1" x14ac:dyDescent="0.2">
      <c r="A63" s="1"/>
      <c r="F63" s="12"/>
      <c r="G63" s="12"/>
    </row>
    <row r="64" spans="1:7" ht="12.75" customHeight="1" x14ac:dyDescent="0.2">
      <c r="A64" s="1"/>
      <c r="F64" s="11"/>
      <c r="G64" s="12"/>
    </row>
    <row r="65" spans="1:7" ht="12.75" customHeight="1" x14ac:dyDescent="0.2">
      <c r="A65" s="1"/>
      <c r="F65" s="12"/>
      <c r="G65" s="12"/>
    </row>
    <row r="66" spans="1:7" ht="12.75" customHeight="1" x14ac:dyDescent="0.2">
      <c r="A66" s="1"/>
      <c r="F66" s="11"/>
      <c r="G66" s="18"/>
    </row>
    <row r="67" spans="1:7" ht="12.75" customHeight="1" x14ac:dyDescent="0.2">
      <c r="A67" s="1"/>
      <c r="F67" s="11"/>
      <c r="G67" s="18"/>
    </row>
    <row r="68" spans="1:7" ht="12.75" customHeight="1" x14ac:dyDescent="0.2">
      <c r="A68" s="1"/>
      <c r="F68" s="11"/>
      <c r="G68" s="18"/>
    </row>
    <row r="69" spans="1:7" ht="12.75" customHeight="1" x14ac:dyDescent="0.2">
      <c r="A69" s="1"/>
      <c r="F69" s="11"/>
      <c r="G69" s="18"/>
    </row>
    <row r="70" spans="1:7" ht="12.75" customHeight="1" x14ac:dyDescent="0.2">
      <c r="A70" s="1"/>
      <c r="F70" s="11"/>
      <c r="G70" s="18"/>
    </row>
    <row r="71" spans="1:7" ht="12.75" customHeight="1" x14ac:dyDescent="0.2">
      <c r="A71" s="1"/>
      <c r="F71" s="12"/>
      <c r="G71" s="12"/>
    </row>
    <row r="72" spans="1:7" ht="12.75" customHeight="1" x14ac:dyDescent="0.2">
      <c r="A72" s="1"/>
      <c r="F72" s="11"/>
      <c r="G72" s="12"/>
    </row>
    <row r="73" spans="1:7" ht="12.75" customHeight="1" x14ac:dyDescent="0.2">
      <c r="A73" s="1"/>
      <c r="F73" s="12"/>
      <c r="G73" s="12"/>
    </row>
    <row r="74" spans="1:7" ht="12.75" customHeight="1" x14ac:dyDescent="0.2">
      <c r="A74" s="1"/>
      <c r="F74" s="11"/>
      <c r="G74" s="19"/>
    </row>
    <row r="75" spans="1:7" ht="12.75" customHeight="1" x14ac:dyDescent="0.2">
      <c r="A75" s="1"/>
      <c r="F75" s="11"/>
      <c r="G75" s="19"/>
    </row>
    <row r="76" spans="1:7" ht="12.75" customHeight="1" x14ac:dyDescent="0.2">
      <c r="A76" s="1"/>
      <c r="F76" s="11"/>
      <c r="G76" s="18"/>
    </row>
    <row r="77" spans="1:7" ht="12.75" customHeight="1" x14ac:dyDescent="0.2">
      <c r="A77" s="1"/>
      <c r="F77" s="11"/>
      <c r="G77" s="19"/>
    </row>
    <row r="78" spans="1:7" ht="12.75" customHeight="1" x14ac:dyDescent="0.2">
      <c r="A78" s="1"/>
      <c r="F78" s="11"/>
      <c r="G78" s="18"/>
    </row>
    <row r="79" spans="1:7" ht="12.75" customHeight="1" x14ac:dyDescent="0.2">
      <c r="A79" s="1"/>
      <c r="F79" s="12"/>
      <c r="G79" s="12"/>
    </row>
    <row r="80" spans="1:7" ht="12.75" customHeight="1" x14ac:dyDescent="0.2">
      <c r="A80" s="1"/>
      <c r="F80" s="11"/>
      <c r="G80" s="12"/>
    </row>
    <row r="81" spans="1:7" ht="12.75" customHeight="1" x14ac:dyDescent="0.2">
      <c r="A81" s="1"/>
      <c r="F81" s="12"/>
      <c r="G81" s="12"/>
    </row>
    <row r="82" spans="1:7" ht="12.75" customHeight="1" x14ac:dyDescent="0.2">
      <c r="A82" s="1"/>
      <c r="F82" s="11"/>
      <c r="G82" s="18"/>
    </row>
    <row r="83" spans="1:7" ht="12.75" customHeight="1" x14ac:dyDescent="0.2">
      <c r="A83" s="1"/>
      <c r="F83" s="11"/>
      <c r="G83" s="20"/>
    </row>
    <row r="84" spans="1:7" ht="12.75" customHeight="1" x14ac:dyDescent="0.2">
      <c r="A84" s="1"/>
      <c r="F84" s="11"/>
      <c r="G84" s="18"/>
    </row>
    <row r="85" spans="1:7" ht="12.75" customHeight="1" x14ac:dyDescent="0.2">
      <c r="A85" s="1"/>
      <c r="F85" s="11"/>
      <c r="G85" s="18"/>
    </row>
    <row r="86" spans="1:7" ht="12.75" customHeight="1" x14ac:dyDescent="0.2">
      <c r="A86" s="1"/>
      <c r="F86" s="11"/>
      <c r="G86" s="18"/>
    </row>
    <row r="87" spans="1:7" ht="12.75" customHeight="1" x14ac:dyDescent="0.2">
      <c r="A87" s="1"/>
    </row>
    <row r="88" spans="1:7" ht="12.75" customHeight="1" x14ac:dyDescent="0.2">
      <c r="A88" s="1"/>
    </row>
    <row r="89" spans="1:7" ht="12.75" customHeight="1" x14ac:dyDescent="0.2">
      <c r="A89" s="1"/>
    </row>
    <row r="90" spans="1:7" ht="12.75" customHeight="1" x14ac:dyDescent="0.2">
      <c r="A90" s="1"/>
    </row>
    <row r="91" spans="1:7" ht="12.75" customHeight="1" x14ac:dyDescent="0.2">
      <c r="A91" s="1"/>
    </row>
    <row r="92" spans="1:7" ht="12.75" customHeight="1" x14ac:dyDescent="0.2">
      <c r="A92" s="1"/>
    </row>
    <row r="93" spans="1:7" ht="12.75" customHeight="1" x14ac:dyDescent="0.2">
      <c r="A93" s="1"/>
    </row>
    <row r="94" spans="1:7" ht="12.75" customHeight="1" x14ac:dyDescent="0.2">
      <c r="A94" s="1"/>
    </row>
    <row r="95" spans="1:7" ht="12.75" customHeight="1" x14ac:dyDescent="0.2">
      <c r="A95" s="1"/>
    </row>
    <row r="96" spans="1:7" ht="12.75" customHeight="1" x14ac:dyDescent="0.2">
      <c r="A96" s="1"/>
    </row>
    <row r="97" spans="1:1" ht="12.75" customHeight="1" x14ac:dyDescent="0.2">
      <c r="A97" s="1"/>
    </row>
    <row r="98" spans="1:1" ht="12.75" customHeight="1" x14ac:dyDescent="0.2">
      <c r="A98" s="1"/>
    </row>
    <row r="99" spans="1:1" ht="12.75" customHeight="1" x14ac:dyDescent="0.2">
      <c r="A99" s="1"/>
    </row>
    <row r="100" spans="1:1" ht="12.75" customHeight="1" x14ac:dyDescent="0.2">
      <c r="A100" s="1"/>
    </row>
    <row r="101" spans="1:1" ht="12.75" customHeight="1" x14ac:dyDescent="0.2">
      <c r="A101" s="1"/>
    </row>
    <row r="102" spans="1:1" ht="12.75" customHeight="1" x14ac:dyDescent="0.2">
      <c r="A102" s="1"/>
    </row>
    <row r="103" spans="1:1" ht="12.75" customHeight="1" x14ac:dyDescent="0.2">
      <c r="A103" s="1"/>
    </row>
    <row r="104" spans="1:1" ht="12.75" customHeight="1" x14ac:dyDescent="0.2">
      <c r="A104" s="1"/>
    </row>
    <row r="105" spans="1:1" ht="12.75" customHeight="1" x14ac:dyDescent="0.2">
      <c r="A105" s="1"/>
    </row>
    <row r="106" spans="1:1" ht="12.75" customHeight="1" x14ac:dyDescent="0.2">
      <c r="A106" s="1"/>
    </row>
    <row r="107" spans="1:1" ht="12.75" customHeight="1" x14ac:dyDescent="0.2">
      <c r="A107" s="1"/>
    </row>
    <row r="108" spans="1:1" ht="12.75" customHeight="1" x14ac:dyDescent="0.2">
      <c r="A108" s="1"/>
    </row>
    <row r="109" spans="1:1" ht="12.75" customHeight="1" x14ac:dyDescent="0.2">
      <c r="A109" s="1"/>
    </row>
    <row r="110" spans="1:1" ht="12.75" customHeight="1" x14ac:dyDescent="0.2">
      <c r="A110" s="1"/>
    </row>
    <row r="111" spans="1:1" ht="12.75" customHeight="1" x14ac:dyDescent="0.2">
      <c r="A111" s="1"/>
    </row>
    <row r="112" spans="1:1" ht="12.75" customHeight="1" x14ac:dyDescent="0.2">
      <c r="A112" s="1"/>
    </row>
    <row r="113" spans="1:1" ht="12.75" customHeight="1" x14ac:dyDescent="0.2">
      <c r="A113" s="1"/>
    </row>
    <row r="114" spans="1:1" ht="12.75" customHeight="1" x14ac:dyDescent="0.2">
      <c r="A114" s="1"/>
    </row>
    <row r="115" spans="1:1" ht="12.75" customHeight="1" x14ac:dyDescent="0.2">
      <c r="A115" s="1"/>
    </row>
    <row r="116" spans="1:1" ht="12.75" customHeight="1" x14ac:dyDescent="0.2">
      <c r="A116" s="1"/>
    </row>
    <row r="117" spans="1:1" ht="12.75" customHeight="1" x14ac:dyDescent="0.2">
      <c r="A117" s="1"/>
    </row>
    <row r="118" spans="1:1" ht="12.75" customHeight="1" x14ac:dyDescent="0.2">
      <c r="A118" s="1"/>
    </row>
    <row r="119" spans="1:1" ht="12.75" customHeight="1" x14ac:dyDescent="0.2">
      <c r="A119" s="1"/>
    </row>
    <row r="120" spans="1:1" ht="12.75" customHeight="1" x14ac:dyDescent="0.2">
      <c r="A120" s="1"/>
    </row>
    <row r="121" spans="1:1" ht="12.75" customHeight="1" x14ac:dyDescent="0.2">
      <c r="A121" s="1"/>
    </row>
    <row r="122" spans="1:1" ht="12.75" customHeight="1" x14ac:dyDescent="0.2">
      <c r="A122" s="1"/>
    </row>
    <row r="123" spans="1:1" ht="12.75" customHeight="1" x14ac:dyDescent="0.2">
      <c r="A123" s="1"/>
    </row>
    <row r="124" spans="1:1" ht="12.75" customHeight="1" x14ac:dyDescent="0.2">
      <c r="A124" s="1"/>
    </row>
    <row r="125" spans="1:1" ht="12.75" customHeight="1" x14ac:dyDescent="0.2">
      <c r="A125" s="1"/>
    </row>
    <row r="126" spans="1:1" ht="12.75" customHeight="1" x14ac:dyDescent="0.2">
      <c r="A126" s="1"/>
    </row>
    <row r="127" spans="1:1" ht="12.75" customHeight="1" x14ac:dyDescent="0.2">
      <c r="A127" s="1"/>
    </row>
    <row r="128" spans="1:1" ht="12.75" customHeight="1" x14ac:dyDescent="0.2">
      <c r="A128" s="1"/>
    </row>
    <row r="129" spans="1:1" ht="12.75" customHeight="1" x14ac:dyDescent="0.2">
      <c r="A129" s="1"/>
    </row>
    <row r="130" spans="1:1" ht="12.75" customHeight="1" x14ac:dyDescent="0.2">
      <c r="A130" s="1"/>
    </row>
    <row r="131" spans="1:1" ht="12.75" customHeight="1" x14ac:dyDescent="0.2">
      <c r="A131" s="1"/>
    </row>
    <row r="132" spans="1:1" ht="12.75" customHeight="1" x14ac:dyDescent="0.2">
      <c r="A132" s="1"/>
    </row>
    <row r="133" spans="1:1" ht="12.75" customHeight="1" x14ac:dyDescent="0.2">
      <c r="A133" s="1"/>
    </row>
    <row r="134" spans="1:1" ht="12.75" customHeight="1" x14ac:dyDescent="0.2">
      <c r="A134" s="1"/>
    </row>
    <row r="135" spans="1:1" ht="12.75" customHeight="1" x14ac:dyDescent="0.2">
      <c r="A135" s="1"/>
    </row>
    <row r="136" spans="1:1" ht="12.75" customHeight="1" x14ac:dyDescent="0.2">
      <c r="A136" s="1"/>
    </row>
    <row r="137" spans="1:1" ht="12.75" customHeight="1" x14ac:dyDescent="0.2">
      <c r="A137" s="1"/>
    </row>
    <row r="138" spans="1:1" ht="12.75" customHeight="1" x14ac:dyDescent="0.2">
      <c r="A138" s="1"/>
    </row>
    <row r="139" spans="1:1" ht="12.75" customHeight="1" x14ac:dyDescent="0.2">
      <c r="A139" s="1"/>
    </row>
    <row r="140" spans="1:1" ht="12.75" customHeight="1" x14ac:dyDescent="0.2">
      <c r="A140" s="1"/>
    </row>
    <row r="141" spans="1:1" ht="12.75" customHeight="1" x14ac:dyDescent="0.2">
      <c r="A141" s="1"/>
    </row>
    <row r="142" spans="1:1" ht="12.75" customHeight="1" x14ac:dyDescent="0.2">
      <c r="A142" s="1"/>
    </row>
    <row r="143" spans="1:1" ht="12.75" customHeight="1" x14ac:dyDescent="0.2">
      <c r="A143" s="1"/>
    </row>
    <row r="144" spans="1:1" ht="12.75" customHeight="1" x14ac:dyDescent="0.2">
      <c r="A144" s="1"/>
    </row>
    <row r="145" spans="1:1" ht="12.75" customHeight="1" x14ac:dyDescent="0.2">
      <c r="A145" s="1"/>
    </row>
    <row r="146" spans="1:1" ht="12.75" customHeight="1" x14ac:dyDescent="0.2">
      <c r="A146" s="1"/>
    </row>
    <row r="147" spans="1:1" ht="12.75" customHeight="1" x14ac:dyDescent="0.2">
      <c r="A147" s="1"/>
    </row>
    <row r="148" spans="1:1" ht="12.75" customHeight="1" x14ac:dyDescent="0.2">
      <c r="A148" s="1"/>
    </row>
    <row r="149" spans="1:1" ht="12.75" customHeight="1" x14ac:dyDescent="0.2">
      <c r="A149" s="1"/>
    </row>
    <row r="150" spans="1:1" ht="12.75" customHeight="1" x14ac:dyDescent="0.2">
      <c r="A150" s="1"/>
    </row>
    <row r="151" spans="1:1" ht="12.75" customHeight="1" x14ac:dyDescent="0.2">
      <c r="A151" s="1"/>
    </row>
    <row r="152" spans="1:1" ht="12.75" customHeight="1" x14ac:dyDescent="0.2">
      <c r="A152" s="1"/>
    </row>
    <row r="153" spans="1:1" ht="12.75" customHeight="1" x14ac:dyDescent="0.2">
      <c r="A153" s="1"/>
    </row>
    <row r="154" spans="1:1" ht="12.75" customHeight="1" x14ac:dyDescent="0.2">
      <c r="A154" s="1"/>
    </row>
    <row r="155" spans="1:1" ht="12.75" customHeight="1" x14ac:dyDescent="0.2">
      <c r="A155" s="1"/>
    </row>
    <row r="156" spans="1:1" ht="12.75" customHeight="1" x14ac:dyDescent="0.2">
      <c r="A156" s="1"/>
    </row>
    <row r="157" spans="1:1" ht="12.75" customHeight="1" x14ac:dyDescent="0.2">
      <c r="A157" s="1"/>
    </row>
    <row r="158" spans="1:1" ht="12.75" customHeight="1" x14ac:dyDescent="0.2">
      <c r="A158" s="1"/>
    </row>
    <row r="159" spans="1:1" ht="12.75" customHeight="1" x14ac:dyDescent="0.2">
      <c r="A159" s="1"/>
    </row>
    <row r="160" spans="1:1" ht="12.75" customHeight="1" x14ac:dyDescent="0.2">
      <c r="A160" s="1"/>
    </row>
    <row r="161" spans="1:1" ht="12.75" customHeight="1" x14ac:dyDescent="0.2">
      <c r="A161" s="1"/>
    </row>
    <row r="162" spans="1:1" ht="12.75" customHeight="1" x14ac:dyDescent="0.2">
      <c r="A162" s="1"/>
    </row>
    <row r="163" spans="1:1" ht="12.75" customHeight="1" x14ac:dyDescent="0.2">
      <c r="A163" s="1"/>
    </row>
    <row r="164" spans="1:1" ht="12.75" customHeight="1" x14ac:dyDescent="0.2">
      <c r="A164" s="1"/>
    </row>
    <row r="165" spans="1:1" ht="12.75" customHeight="1" x14ac:dyDescent="0.2">
      <c r="A165" s="1"/>
    </row>
    <row r="166" spans="1:1" ht="12.75" customHeight="1" x14ac:dyDescent="0.2">
      <c r="A166" s="1"/>
    </row>
    <row r="167" spans="1:1" ht="12.75" customHeight="1" x14ac:dyDescent="0.2">
      <c r="A167" s="1"/>
    </row>
    <row r="168" spans="1:1" ht="12.75" customHeight="1" x14ac:dyDescent="0.2">
      <c r="A168" s="1"/>
    </row>
    <row r="169" spans="1:1" ht="12.75" customHeight="1" x14ac:dyDescent="0.2">
      <c r="A169" s="1"/>
    </row>
    <row r="170" spans="1:1" ht="12.75" customHeight="1" x14ac:dyDescent="0.2">
      <c r="A170" s="1"/>
    </row>
    <row r="171" spans="1:1" ht="12.75" customHeight="1" x14ac:dyDescent="0.2">
      <c r="A171" s="1"/>
    </row>
    <row r="172" spans="1:1" ht="12.75" customHeight="1" x14ac:dyDescent="0.2">
      <c r="A172" s="1"/>
    </row>
    <row r="173" spans="1:1" ht="12.75" customHeight="1" x14ac:dyDescent="0.2">
      <c r="A173" s="1"/>
    </row>
    <row r="174" spans="1:1" ht="12.75" customHeight="1" x14ac:dyDescent="0.2">
      <c r="A174" s="1"/>
    </row>
    <row r="175" spans="1:1" ht="12.75" customHeight="1" x14ac:dyDescent="0.2">
      <c r="A175" s="1"/>
    </row>
    <row r="176" spans="1:1" ht="12.75" customHeight="1" x14ac:dyDescent="0.2">
      <c r="A176" s="1"/>
    </row>
    <row r="177" spans="1:1" ht="12.75" customHeight="1" x14ac:dyDescent="0.2">
      <c r="A177" s="1"/>
    </row>
    <row r="178" spans="1:1" ht="12.75" customHeight="1" x14ac:dyDescent="0.2">
      <c r="A178" s="1"/>
    </row>
    <row r="179" spans="1:1" ht="12.75" customHeight="1" x14ac:dyDescent="0.2">
      <c r="A179" s="1"/>
    </row>
    <row r="180" spans="1:1" ht="12.75" customHeight="1" x14ac:dyDescent="0.2">
      <c r="A180" s="1"/>
    </row>
    <row r="181" spans="1:1" ht="12.75" customHeight="1" x14ac:dyDescent="0.2">
      <c r="A181" s="1"/>
    </row>
    <row r="182" spans="1:1" ht="12.75" customHeight="1" x14ac:dyDescent="0.2">
      <c r="A182" s="1"/>
    </row>
    <row r="183" spans="1:1" ht="12.75" customHeight="1" x14ac:dyDescent="0.2">
      <c r="A183" s="1"/>
    </row>
    <row r="184" spans="1:1" ht="12.75" customHeight="1" x14ac:dyDescent="0.2">
      <c r="A184" s="1"/>
    </row>
    <row r="185" spans="1:1" ht="12.75" customHeight="1" x14ac:dyDescent="0.2">
      <c r="A185" s="1"/>
    </row>
    <row r="186" spans="1:1" ht="12.75" customHeight="1" x14ac:dyDescent="0.2">
      <c r="A186" s="1"/>
    </row>
    <row r="187" spans="1:1" ht="12.75" customHeight="1" x14ac:dyDescent="0.2">
      <c r="A187" s="1"/>
    </row>
    <row r="188" spans="1:1" ht="12.75" customHeight="1" x14ac:dyDescent="0.2">
      <c r="A188" s="1"/>
    </row>
    <row r="189" spans="1:1" ht="12.75" customHeight="1" x14ac:dyDescent="0.2">
      <c r="A189" s="1"/>
    </row>
    <row r="190" spans="1:1" ht="12.75" customHeight="1" x14ac:dyDescent="0.2">
      <c r="A190" s="1"/>
    </row>
    <row r="191" spans="1:1" ht="12.75" customHeight="1" x14ac:dyDescent="0.2">
      <c r="A191" s="1"/>
    </row>
    <row r="192" spans="1:1" ht="12.75" customHeight="1" x14ac:dyDescent="0.2">
      <c r="A192" s="1"/>
    </row>
    <row r="193" spans="1:1" ht="12.75" customHeight="1" x14ac:dyDescent="0.2">
      <c r="A193" s="1"/>
    </row>
    <row r="194" spans="1:1" ht="12.75" customHeight="1" x14ac:dyDescent="0.2">
      <c r="A194" s="1"/>
    </row>
    <row r="195" spans="1:1" ht="12.75" customHeight="1" x14ac:dyDescent="0.2">
      <c r="A195" s="1"/>
    </row>
    <row r="196" spans="1:1" ht="12.75" customHeight="1" x14ac:dyDescent="0.2">
      <c r="A196" s="1"/>
    </row>
    <row r="197" spans="1:1" ht="12.75" customHeight="1" x14ac:dyDescent="0.2">
      <c r="A197" s="1"/>
    </row>
    <row r="198" spans="1:1" ht="12.75" customHeight="1" x14ac:dyDescent="0.2">
      <c r="A198" s="1"/>
    </row>
    <row r="199" spans="1:1" ht="12.75" customHeight="1" x14ac:dyDescent="0.2">
      <c r="A199" s="1"/>
    </row>
    <row r="200" spans="1:1" ht="12.75" customHeight="1" x14ac:dyDescent="0.2">
      <c r="A200" s="1"/>
    </row>
    <row r="201" spans="1:1" ht="12.75" customHeight="1" x14ac:dyDescent="0.2">
      <c r="A201" s="1"/>
    </row>
    <row r="202" spans="1:1" ht="12.75" customHeight="1" x14ac:dyDescent="0.2">
      <c r="A202" s="1"/>
    </row>
    <row r="203" spans="1:1" ht="12.75" customHeight="1" x14ac:dyDescent="0.2">
      <c r="A203" s="1"/>
    </row>
    <row r="204" spans="1:1" ht="12.75" customHeight="1" x14ac:dyDescent="0.2">
      <c r="A204" s="1"/>
    </row>
    <row r="205" spans="1:1" ht="12.75" customHeight="1" x14ac:dyDescent="0.2">
      <c r="A205" s="1"/>
    </row>
    <row r="206" spans="1:1" ht="12.75" customHeight="1" x14ac:dyDescent="0.2">
      <c r="A206" s="1"/>
    </row>
    <row r="207" spans="1:1" ht="12.75" customHeight="1" x14ac:dyDescent="0.2">
      <c r="A207" s="1"/>
    </row>
    <row r="208" spans="1:1" ht="12.75" customHeight="1" x14ac:dyDescent="0.2">
      <c r="A208" s="1"/>
    </row>
    <row r="209" spans="1:1" ht="12.75" customHeight="1" x14ac:dyDescent="0.2">
      <c r="A209" s="1"/>
    </row>
    <row r="210" spans="1:1" ht="12.75" customHeight="1" x14ac:dyDescent="0.2">
      <c r="A210" s="1"/>
    </row>
    <row r="211" spans="1:1" ht="12.75" customHeight="1" x14ac:dyDescent="0.2">
      <c r="A211" s="1"/>
    </row>
    <row r="212" spans="1:1" ht="12.75" customHeight="1" x14ac:dyDescent="0.2">
      <c r="A212" s="1"/>
    </row>
    <row r="213" spans="1:1" ht="12.75" customHeight="1" x14ac:dyDescent="0.2">
      <c r="A213" s="1"/>
    </row>
    <row r="214" spans="1:1" ht="12.75" customHeight="1" x14ac:dyDescent="0.2">
      <c r="A214" s="1"/>
    </row>
    <row r="215" spans="1:1" ht="12.75" customHeight="1" x14ac:dyDescent="0.2">
      <c r="A215" s="1"/>
    </row>
    <row r="216" spans="1:1" ht="12.75" customHeight="1" x14ac:dyDescent="0.2">
      <c r="A216" s="1"/>
    </row>
    <row r="217" spans="1:1" ht="12.75" customHeight="1" x14ac:dyDescent="0.2">
      <c r="A217" s="1"/>
    </row>
    <row r="218" spans="1:1" ht="12.75" customHeight="1" x14ac:dyDescent="0.2">
      <c r="A218" s="1"/>
    </row>
    <row r="219" spans="1:1" ht="12.75" customHeight="1" x14ac:dyDescent="0.2">
      <c r="A219" s="1"/>
    </row>
    <row r="220" spans="1:1" ht="12.75" customHeight="1" x14ac:dyDescent="0.2">
      <c r="A220" s="1"/>
    </row>
    <row r="221" spans="1:1" ht="12.75" customHeight="1" x14ac:dyDescent="0.2">
      <c r="A221" s="1"/>
    </row>
    <row r="222" spans="1:1" ht="15.75" customHeight="1" x14ac:dyDescent="0.2">
      <c r="A222" s="1"/>
    </row>
    <row r="223" spans="1:1" ht="15.75" customHeight="1" x14ac:dyDescent="0.2">
      <c r="A223" s="1"/>
    </row>
    <row r="224" spans="1:1" ht="15.75" customHeight="1" x14ac:dyDescent="0.2">
      <c r="A224" s="1"/>
    </row>
    <row r="225" spans="1:1" ht="15.75" customHeight="1" x14ac:dyDescent="0.2">
      <c r="A225" s="1"/>
    </row>
    <row r="226" spans="1:1" ht="15.75" customHeight="1" x14ac:dyDescent="0.2">
      <c r="A226" s="1"/>
    </row>
    <row r="227" spans="1:1" ht="15.75" customHeight="1" x14ac:dyDescent="0.2">
      <c r="A227" s="1"/>
    </row>
    <row r="228" spans="1:1" ht="15.75" customHeight="1" x14ac:dyDescent="0.2">
      <c r="A228" s="1"/>
    </row>
    <row r="229" spans="1:1" ht="15.75" customHeight="1" x14ac:dyDescent="0.2">
      <c r="A229" s="1"/>
    </row>
    <row r="230" spans="1:1" ht="15.75" customHeight="1" x14ac:dyDescent="0.2">
      <c r="A230" s="1"/>
    </row>
    <row r="231" spans="1:1" ht="15.75" customHeight="1" x14ac:dyDescent="0.2">
      <c r="A231" s="1"/>
    </row>
    <row r="232" spans="1:1" ht="15.75" customHeight="1" x14ac:dyDescent="0.2">
      <c r="A232" s="1"/>
    </row>
    <row r="233" spans="1:1" ht="15.75" customHeight="1" x14ac:dyDescent="0.2">
      <c r="A233" s="1"/>
    </row>
    <row r="234" spans="1:1" ht="15.75" customHeight="1" x14ac:dyDescent="0.2">
      <c r="A234" s="1"/>
    </row>
    <row r="235" spans="1:1" ht="15.75" customHeight="1" x14ac:dyDescent="0.2">
      <c r="A235" s="1"/>
    </row>
    <row r="236" spans="1:1" ht="15.75" customHeight="1" x14ac:dyDescent="0.2">
      <c r="A236" s="1"/>
    </row>
    <row r="237" spans="1:1" ht="15.75" customHeight="1" x14ac:dyDescent="0.2">
      <c r="A237" s="1"/>
    </row>
    <row r="238" spans="1:1" ht="15.75" customHeight="1" x14ac:dyDescent="0.2">
      <c r="A238" s="1"/>
    </row>
    <row r="239" spans="1:1" ht="15.75" customHeight="1" x14ac:dyDescent="0.2">
      <c r="A239" s="1"/>
    </row>
    <row r="240" spans="1:1" ht="15.75" customHeight="1" x14ac:dyDescent="0.2">
      <c r="A240" s="1"/>
    </row>
    <row r="241" spans="1:1" ht="15.75" customHeight="1" x14ac:dyDescent="0.2">
      <c r="A241" s="1"/>
    </row>
    <row r="242" spans="1:1" ht="15.75" customHeight="1" x14ac:dyDescent="0.2">
      <c r="A242" s="1"/>
    </row>
    <row r="243" spans="1:1" ht="15.75" customHeight="1" x14ac:dyDescent="0.2">
      <c r="A243" s="1"/>
    </row>
    <row r="244" spans="1:1" ht="15.75" customHeight="1" x14ac:dyDescent="0.2">
      <c r="A244" s="1"/>
    </row>
    <row r="245" spans="1:1" ht="15.75" customHeight="1" x14ac:dyDescent="0.2">
      <c r="A245" s="1"/>
    </row>
    <row r="246" spans="1:1" ht="15.75" customHeight="1" x14ac:dyDescent="0.2">
      <c r="A246" s="1"/>
    </row>
    <row r="247" spans="1:1" ht="15.75" customHeight="1" x14ac:dyDescent="0.2">
      <c r="A247" s="1"/>
    </row>
    <row r="248" spans="1:1" ht="15.75" customHeight="1" x14ac:dyDescent="0.2">
      <c r="A248" s="1"/>
    </row>
    <row r="249" spans="1:1" ht="15.75" customHeight="1" x14ac:dyDescent="0.2">
      <c r="A249" s="1"/>
    </row>
    <row r="250" spans="1:1" ht="15.75" customHeight="1" x14ac:dyDescent="0.2">
      <c r="A250" s="1"/>
    </row>
    <row r="251" spans="1:1" ht="15.75" customHeight="1" x14ac:dyDescent="0.2">
      <c r="A251" s="1"/>
    </row>
    <row r="252" spans="1:1" ht="15.75" customHeight="1" x14ac:dyDescent="0.2">
      <c r="A252" s="1"/>
    </row>
    <row r="253" spans="1:1" ht="15.75" customHeight="1" x14ac:dyDescent="0.2">
      <c r="A253" s="1"/>
    </row>
    <row r="254" spans="1:1" ht="15.75" customHeight="1" x14ac:dyDescent="0.2">
      <c r="A254" s="1"/>
    </row>
    <row r="255" spans="1:1" ht="15.75" customHeight="1" x14ac:dyDescent="0.2">
      <c r="A255" s="1"/>
    </row>
    <row r="256" spans="1:1" ht="15.75" customHeight="1" x14ac:dyDescent="0.2">
      <c r="A256" s="1"/>
    </row>
    <row r="257" spans="1:1" ht="15.75" customHeight="1" x14ac:dyDescent="0.2">
      <c r="A257" s="1"/>
    </row>
    <row r="258" spans="1:1" ht="15.75" customHeight="1" x14ac:dyDescent="0.2">
      <c r="A258" s="1"/>
    </row>
    <row r="259" spans="1:1" ht="15.75" customHeight="1" x14ac:dyDescent="0.2">
      <c r="A259" s="1"/>
    </row>
    <row r="260" spans="1:1" ht="15.75" customHeight="1" x14ac:dyDescent="0.2">
      <c r="A260" s="1"/>
    </row>
    <row r="261" spans="1:1" ht="15.75" customHeight="1" x14ac:dyDescent="0.2">
      <c r="A261" s="1"/>
    </row>
    <row r="262" spans="1:1" ht="15.75" customHeight="1" x14ac:dyDescent="0.2">
      <c r="A262" s="1"/>
    </row>
    <row r="263" spans="1:1" ht="15.75" customHeight="1" x14ac:dyDescent="0.2">
      <c r="A263" s="1"/>
    </row>
    <row r="264" spans="1:1" ht="15.75" customHeight="1" x14ac:dyDescent="0.2">
      <c r="A264" s="1"/>
    </row>
    <row r="265" spans="1:1" ht="15.75" customHeight="1" x14ac:dyDescent="0.2">
      <c r="A265" s="1"/>
    </row>
    <row r="266" spans="1:1" ht="15.75" customHeight="1" x14ac:dyDescent="0.2">
      <c r="A266" s="1"/>
    </row>
    <row r="267" spans="1:1" ht="15.75" customHeight="1" x14ac:dyDescent="0.2">
      <c r="A267" s="1"/>
    </row>
    <row r="268" spans="1:1" ht="15.75" customHeight="1" x14ac:dyDescent="0.2">
      <c r="A268" s="1"/>
    </row>
    <row r="269" spans="1:1" ht="15.75" customHeight="1" x14ac:dyDescent="0.2">
      <c r="A269" s="1"/>
    </row>
    <row r="270" spans="1:1" ht="15.75" customHeight="1" x14ac:dyDescent="0.2">
      <c r="A270" s="1"/>
    </row>
    <row r="271" spans="1:1" ht="15.75" customHeight="1" x14ac:dyDescent="0.2">
      <c r="A271" s="1"/>
    </row>
    <row r="272" spans="1:1" ht="15.75" customHeight="1" x14ac:dyDescent="0.2">
      <c r="A272" s="1"/>
    </row>
    <row r="273" spans="1:1" ht="15.75" customHeight="1" x14ac:dyDescent="0.2">
      <c r="A273" s="1"/>
    </row>
    <row r="274" spans="1:1" ht="15.75" customHeight="1" x14ac:dyDescent="0.2">
      <c r="A274" s="1"/>
    </row>
    <row r="275" spans="1:1" ht="15.75" customHeight="1" x14ac:dyDescent="0.2">
      <c r="A275" s="1"/>
    </row>
    <row r="276" spans="1:1" ht="15.75" customHeight="1" x14ac:dyDescent="0.2">
      <c r="A276" s="1"/>
    </row>
    <row r="277" spans="1:1" ht="15.75" customHeight="1" x14ac:dyDescent="0.2">
      <c r="A277" s="1"/>
    </row>
    <row r="278" spans="1:1" ht="15.75" customHeight="1" x14ac:dyDescent="0.2">
      <c r="A278" s="1"/>
    </row>
    <row r="279" spans="1:1" ht="15.75" customHeight="1" x14ac:dyDescent="0.2">
      <c r="A279" s="1"/>
    </row>
    <row r="280" spans="1:1" ht="15.75" customHeight="1" x14ac:dyDescent="0.2">
      <c r="A280" s="1"/>
    </row>
    <row r="281" spans="1:1" ht="15.75" customHeight="1" x14ac:dyDescent="0.2">
      <c r="A281" s="1"/>
    </row>
    <row r="282" spans="1:1" ht="15.75" customHeight="1" x14ac:dyDescent="0.2">
      <c r="A282" s="1"/>
    </row>
    <row r="283" spans="1:1" ht="15.75" customHeight="1" x14ac:dyDescent="0.2">
      <c r="A283" s="1"/>
    </row>
    <row r="284" spans="1:1" ht="15.75" customHeight="1" x14ac:dyDescent="0.2">
      <c r="A284" s="1"/>
    </row>
    <row r="285" spans="1:1" ht="15.75" customHeight="1" x14ac:dyDescent="0.2">
      <c r="A285" s="1"/>
    </row>
    <row r="286" spans="1:1" ht="15.75" customHeight="1" x14ac:dyDescent="0.2">
      <c r="A286" s="1"/>
    </row>
    <row r="287" spans="1:1" ht="15.75" customHeight="1" x14ac:dyDescent="0.2">
      <c r="A287" s="1"/>
    </row>
    <row r="288" spans="1:1" ht="15.75" customHeight="1" x14ac:dyDescent="0.2">
      <c r="A288" s="1"/>
    </row>
    <row r="289" spans="1:1" ht="15.75" customHeight="1" x14ac:dyDescent="0.2">
      <c r="A289" s="1"/>
    </row>
    <row r="290" spans="1:1" ht="15.75" customHeight="1" x14ac:dyDescent="0.2">
      <c r="A290" s="1"/>
    </row>
    <row r="291" spans="1:1" ht="15.75" customHeight="1" x14ac:dyDescent="0.2">
      <c r="A291" s="1"/>
    </row>
    <row r="292" spans="1:1" ht="15.75" customHeight="1" x14ac:dyDescent="0.2">
      <c r="A292" s="1"/>
    </row>
    <row r="293" spans="1:1" ht="15.75" customHeight="1" x14ac:dyDescent="0.2">
      <c r="A293" s="1"/>
    </row>
    <row r="294" spans="1:1" ht="15.75" customHeight="1" x14ac:dyDescent="0.2">
      <c r="A294" s="1"/>
    </row>
    <row r="295" spans="1:1" ht="15.75" customHeight="1" x14ac:dyDescent="0.2">
      <c r="A295" s="1"/>
    </row>
    <row r="296" spans="1:1" ht="15.75" customHeight="1" x14ac:dyDescent="0.2">
      <c r="A296" s="1"/>
    </row>
    <row r="297" spans="1:1" ht="15.75" customHeight="1" x14ac:dyDescent="0.2">
      <c r="A297" s="1"/>
    </row>
    <row r="298" spans="1:1" ht="15.75" customHeight="1" x14ac:dyDescent="0.2">
      <c r="A298" s="1"/>
    </row>
    <row r="299" spans="1:1" ht="15.75" customHeight="1" x14ac:dyDescent="0.2">
      <c r="A299" s="1"/>
    </row>
    <row r="300" spans="1:1" ht="15.75" customHeight="1" x14ac:dyDescent="0.2">
      <c r="A300" s="1"/>
    </row>
    <row r="301" spans="1:1" ht="15.75" customHeight="1" x14ac:dyDescent="0.2">
      <c r="A301" s="1"/>
    </row>
    <row r="302" spans="1:1" ht="15.75" customHeight="1" x14ac:dyDescent="0.2">
      <c r="A302" s="1"/>
    </row>
    <row r="303" spans="1:1" ht="15.75" customHeight="1" x14ac:dyDescent="0.2">
      <c r="A303" s="1"/>
    </row>
    <row r="304" spans="1:1" ht="15.75" customHeight="1" x14ac:dyDescent="0.2">
      <c r="A304" s="1"/>
    </row>
    <row r="305" spans="1:1" ht="15.75" customHeight="1" x14ac:dyDescent="0.2">
      <c r="A305" s="1"/>
    </row>
    <row r="306" spans="1:1" ht="15.75" customHeight="1" x14ac:dyDescent="0.2">
      <c r="A306" s="1"/>
    </row>
    <row r="307" spans="1:1" ht="15.75" customHeight="1" x14ac:dyDescent="0.2">
      <c r="A307" s="1"/>
    </row>
    <row r="308" spans="1:1" ht="15.75" customHeight="1" x14ac:dyDescent="0.2">
      <c r="A308" s="1"/>
    </row>
    <row r="309" spans="1:1" ht="15.75" customHeight="1" x14ac:dyDescent="0.2">
      <c r="A309" s="1"/>
    </row>
    <row r="310" spans="1:1" ht="15.75" customHeight="1" x14ac:dyDescent="0.2">
      <c r="A310" s="1"/>
    </row>
    <row r="311" spans="1:1" ht="15.75" customHeight="1" x14ac:dyDescent="0.2">
      <c r="A311" s="1"/>
    </row>
    <row r="312" spans="1:1" ht="15.75" customHeight="1" x14ac:dyDescent="0.2">
      <c r="A312" s="1"/>
    </row>
    <row r="313" spans="1:1" ht="15.75" customHeight="1" x14ac:dyDescent="0.2">
      <c r="A313" s="1"/>
    </row>
    <row r="314" spans="1:1" ht="15.75" customHeight="1" x14ac:dyDescent="0.2">
      <c r="A314" s="1"/>
    </row>
    <row r="315" spans="1:1" ht="15.75" customHeight="1" x14ac:dyDescent="0.2">
      <c r="A315" s="1"/>
    </row>
    <row r="316" spans="1:1" ht="15.75" customHeight="1" x14ac:dyDescent="0.2">
      <c r="A316" s="1"/>
    </row>
    <row r="317" spans="1:1" ht="15.75" customHeight="1" x14ac:dyDescent="0.2">
      <c r="A317" s="1"/>
    </row>
    <row r="318" spans="1:1" ht="15.75" customHeight="1" x14ac:dyDescent="0.2">
      <c r="A318" s="1"/>
    </row>
    <row r="319" spans="1:1" ht="15.75" customHeight="1" x14ac:dyDescent="0.2">
      <c r="A319" s="1"/>
    </row>
    <row r="320" spans="1:1" ht="15.75" customHeight="1" x14ac:dyDescent="0.2">
      <c r="A320" s="1"/>
    </row>
    <row r="321" spans="1:1" ht="15.75" customHeight="1" x14ac:dyDescent="0.2">
      <c r="A321" s="1"/>
    </row>
    <row r="322" spans="1:1" ht="15.75" customHeight="1" x14ac:dyDescent="0.2">
      <c r="A322" s="1"/>
    </row>
    <row r="323" spans="1:1" ht="15.75" customHeight="1" x14ac:dyDescent="0.2">
      <c r="A323" s="1"/>
    </row>
    <row r="324" spans="1:1" ht="15.75" customHeight="1" x14ac:dyDescent="0.2">
      <c r="A324" s="1"/>
    </row>
    <row r="325" spans="1:1" ht="15.75" customHeight="1" x14ac:dyDescent="0.2">
      <c r="A325" s="1"/>
    </row>
    <row r="326" spans="1:1" ht="15.75" customHeight="1" x14ac:dyDescent="0.2">
      <c r="A326" s="1"/>
    </row>
    <row r="327" spans="1:1" ht="15.75" customHeight="1" x14ac:dyDescent="0.2">
      <c r="A327" s="1"/>
    </row>
    <row r="328" spans="1:1" ht="15.75" customHeight="1" x14ac:dyDescent="0.2">
      <c r="A328" s="1"/>
    </row>
    <row r="329" spans="1:1" ht="15.75" customHeight="1" x14ac:dyDescent="0.2">
      <c r="A329" s="1"/>
    </row>
    <row r="330" spans="1:1" ht="15.75" customHeight="1" x14ac:dyDescent="0.2">
      <c r="A330" s="1"/>
    </row>
    <row r="331" spans="1:1" ht="15.75" customHeight="1" x14ac:dyDescent="0.2">
      <c r="A331" s="1"/>
    </row>
    <row r="332" spans="1:1" ht="15.75" customHeight="1" x14ac:dyDescent="0.2">
      <c r="A332" s="1"/>
    </row>
    <row r="333" spans="1:1" ht="15.75" customHeight="1" x14ac:dyDescent="0.2">
      <c r="A333" s="1"/>
    </row>
    <row r="334" spans="1:1" ht="15.75" customHeight="1" x14ac:dyDescent="0.2">
      <c r="A334" s="1"/>
    </row>
    <row r="335" spans="1:1" ht="15.75" customHeight="1" x14ac:dyDescent="0.2">
      <c r="A335" s="1"/>
    </row>
    <row r="336" spans="1:1" ht="15.75" customHeight="1" x14ac:dyDescent="0.2">
      <c r="A336" s="1"/>
    </row>
    <row r="337" spans="1:1" ht="15.75" customHeight="1" x14ac:dyDescent="0.2">
      <c r="A337" s="1"/>
    </row>
    <row r="338" spans="1:1" ht="15.75" customHeight="1" x14ac:dyDescent="0.2">
      <c r="A338" s="1"/>
    </row>
    <row r="339" spans="1:1" ht="15.75" customHeight="1" x14ac:dyDescent="0.2">
      <c r="A339" s="1"/>
    </row>
    <row r="340" spans="1:1" ht="15.75" customHeight="1" x14ac:dyDescent="0.2">
      <c r="A340" s="1"/>
    </row>
    <row r="341" spans="1:1" ht="15.75" customHeight="1" x14ac:dyDescent="0.2">
      <c r="A341" s="1"/>
    </row>
    <row r="342" spans="1:1" ht="15.75" customHeight="1" x14ac:dyDescent="0.2">
      <c r="A342" s="1"/>
    </row>
    <row r="343" spans="1:1" ht="15.75" customHeight="1" x14ac:dyDescent="0.2">
      <c r="A343" s="1"/>
    </row>
    <row r="344" spans="1:1" ht="15.75" customHeight="1" x14ac:dyDescent="0.2">
      <c r="A344" s="1"/>
    </row>
    <row r="345" spans="1:1" ht="15.75" customHeight="1" x14ac:dyDescent="0.2">
      <c r="A345" s="1"/>
    </row>
    <row r="346" spans="1:1" ht="15.75" customHeight="1" x14ac:dyDescent="0.2">
      <c r="A346" s="1"/>
    </row>
    <row r="347" spans="1:1" ht="15.75" customHeight="1" x14ac:dyDescent="0.2">
      <c r="A347" s="1"/>
    </row>
    <row r="348" spans="1:1" ht="15.75" customHeight="1" x14ac:dyDescent="0.2">
      <c r="A348" s="1"/>
    </row>
    <row r="349" spans="1:1" ht="15.75" customHeight="1" x14ac:dyDescent="0.2">
      <c r="A349" s="1"/>
    </row>
    <row r="350" spans="1:1" ht="15.75" customHeight="1" x14ac:dyDescent="0.2">
      <c r="A350" s="1"/>
    </row>
    <row r="351" spans="1:1" ht="15.75" customHeight="1" x14ac:dyDescent="0.2">
      <c r="A351" s="1"/>
    </row>
    <row r="352" spans="1:1" ht="15.75" customHeight="1" x14ac:dyDescent="0.2">
      <c r="A352" s="1"/>
    </row>
    <row r="353" spans="1:1" ht="15.75" customHeight="1" x14ac:dyDescent="0.2">
      <c r="A353" s="1"/>
    </row>
    <row r="354" spans="1:1" ht="15.75" customHeight="1" x14ac:dyDescent="0.2">
      <c r="A354" s="1"/>
    </row>
    <row r="355" spans="1:1" ht="15.75" customHeight="1" x14ac:dyDescent="0.2">
      <c r="A355" s="1"/>
    </row>
    <row r="356" spans="1:1" ht="15.75" customHeight="1" x14ac:dyDescent="0.2">
      <c r="A356" s="1"/>
    </row>
    <row r="357" spans="1:1" ht="15.75" customHeight="1" x14ac:dyDescent="0.2">
      <c r="A357" s="1"/>
    </row>
    <row r="358" spans="1:1" ht="15.75" customHeight="1" x14ac:dyDescent="0.2">
      <c r="A358" s="1"/>
    </row>
    <row r="359" spans="1:1" ht="15.75" customHeight="1" x14ac:dyDescent="0.2">
      <c r="A359" s="1"/>
    </row>
    <row r="360" spans="1:1" ht="15.75" customHeight="1" x14ac:dyDescent="0.2">
      <c r="A360" s="1"/>
    </row>
    <row r="361" spans="1:1" ht="15.75" customHeight="1" x14ac:dyDescent="0.2">
      <c r="A361" s="1"/>
    </row>
    <row r="362" spans="1:1" ht="15.75" customHeight="1" x14ac:dyDescent="0.2">
      <c r="A362" s="1"/>
    </row>
    <row r="363" spans="1:1" ht="15.75" customHeight="1" x14ac:dyDescent="0.2">
      <c r="A363" s="1"/>
    </row>
    <row r="364" spans="1:1" ht="15.75" customHeight="1" x14ac:dyDescent="0.2">
      <c r="A364" s="1"/>
    </row>
    <row r="365" spans="1:1" ht="15.75" customHeight="1" x14ac:dyDescent="0.2">
      <c r="A365" s="1"/>
    </row>
    <row r="366" spans="1:1" ht="15.75" customHeight="1" x14ac:dyDescent="0.2">
      <c r="A366" s="1"/>
    </row>
    <row r="367" spans="1:1" ht="15.75" customHeight="1" x14ac:dyDescent="0.2">
      <c r="A367" s="1"/>
    </row>
    <row r="368" spans="1:1" ht="15.75" customHeight="1" x14ac:dyDescent="0.2">
      <c r="A368" s="1"/>
    </row>
    <row r="369" spans="1:1" ht="15.75" customHeight="1" x14ac:dyDescent="0.2">
      <c r="A369" s="1"/>
    </row>
    <row r="370" spans="1:1" ht="15.75" customHeight="1" x14ac:dyDescent="0.2">
      <c r="A370" s="1"/>
    </row>
    <row r="371" spans="1:1" ht="15.75" customHeight="1" x14ac:dyDescent="0.2">
      <c r="A371" s="1"/>
    </row>
    <row r="372" spans="1:1" ht="15.75" customHeight="1" x14ac:dyDescent="0.2">
      <c r="A372" s="1"/>
    </row>
    <row r="373" spans="1:1" ht="15.75" customHeight="1" x14ac:dyDescent="0.2">
      <c r="A373" s="1"/>
    </row>
    <row r="374" spans="1:1" ht="15.75" customHeight="1" x14ac:dyDescent="0.2">
      <c r="A374" s="1"/>
    </row>
    <row r="375" spans="1:1" ht="15.75" customHeight="1" x14ac:dyDescent="0.2">
      <c r="A375" s="1"/>
    </row>
    <row r="376" spans="1:1" ht="15.75" customHeight="1" x14ac:dyDescent="0.2">
      <c r="A376" s="1"/>
    </row>
    <row r="377" spans="1:1" ht="15.75" customHeight="1" x14ac:dyDescent="0.2">
      <c r="A377" s="1"/>
    </row>
    <row r="378" spans="1:1" ht="15.75" customHeight="1" x14ac:dyDescent="0.2">
      <c r="A378" s="1"/>
    </row>
    <row r="379" spans="1:1" ht="15.75" customHeight="1" x14ac:dyDescent="0.2">
      <c r="A379" s="1"/>
    </row>
    <row r="380" spans="1:1" ht="15.75" customHeight="1" x14ac:dyDescent="0.2">
      <c r="A380" s="1"/>
    </row>
    <row r="381" spans="1:1" ht="15.75" customHeight="1" x14ac:dyDescent="0.2">
      <c r="A381" s="1"/>
    </row>
    <row r="382" spans="1:1" ht="15.75" customHeight="1" x14ac:dyDescent="0.2">
      <c r="A382" s="1"/>
    </row>
    <row r="383" spans="1:1" ht="15.75" customHeight="1" x14ac:dyDescent="0.2">
      <c r="A383" s="1"/>
    </row>
    <row r="384" spans="1:1" ht="15.75" customHeight="1" x14ac:dyDescent="0.2">
      <c r="A384" s="1"/>
    </row>
    <row r="385" spans="1:1" ht="15.75" customHeight="1" x14ac:dyDescent="0.2">
      <c r="A385" s="1"/>
    </row>
    <row r="386" spans="1:1" ht="15.75" customHeight="1" x14ac:dyDescent="0.2">
      <c r="A386" s="1"/>
    </row>
    <row r="387" spans="1:1" ht="15.75" customHeight="1" x14ac:dyDescent="0.2">
      <c r="A387" s="1"/>
    </row>
    <row r="388" spans="1:1" ht="15.75" customHeight="1" x14ac:dyDescent="0.2">
      <c r="A388" s="1"/>
    </row>
    <row r="389" spans="1:1" ht="15.75" customHeight="1" x14ac:dyDescent="0.2">
      <c r="A389" s="1"/>
    </row>
    <row r="390" spans="1:1" ht="15.75" customHeight="1" x14ac:dyDescent="0.2">
      <c r="A390" s="1"/>
    </row>
    <row r="391" spans="1:1" ht="15.75" customHeight="1" x14ac:dyDescent="0.2">
      <c r="A391" s="1"/>
    </row>
    <row r="392" spans="1:1" ht="15.75" customHeight="1" x14ac:dyDescent="0.2">
      <c r="A392" s="1"/>
    </row>
    <row r="393" spans="1:1" ht="15.75" customHeight="1" x14ac:dyDescent="0.2">
      <c r="A393" s="1"/>
    </row>
    <row r="394" spans="1:1" ht="15.75" customHeight="1" x14ac:dyDescent="0.2">
      <c r="A394" s="1"/>
    </row>
    <row r="395" spans="1:1" ht="15.75" customHeight="1" x14ac:dyDescent="0.2">
      <c r="A395" s="1"/>
    </row>
    <row r="396" spans="1:1" ht="15.75" customHeight="1" x14ac:dyDescent="0.2">
      <c r="A396" s="1"/>
    </row>
    <row r="397" spans="1:1" ht="15.75" customHeight="1" x14ac:dyDescent="0.2">
      <c r="A397" s="1"/>
    </row>
    <row r="398" spans="1:1" ht="15.75" customHeight="1" x14ac:dyDescent="0.2">
      <c r="A398" s="1"/>
    </row>
    <row r="399" spans="1:1" ht="15.75" customHeight="1" x14ac:dyDescent="0.2">
      <c r="A399" s="1"/>
    </row>
    <row r="400" spans="1:1" ht="15.75" customHeight="1" x14ac:dyDescent="0.2">
      <c r="A400" s="1"/>
    </row>
    <row r="401" spans="1:1" ht="15.75" customHeight="1" x14ac:dyDescent="0.2">
      <c r="A401" s="1"/>
    </row>
    <row r="402" spans="1:1" ht="15.75" customHeight="1" x14ac:dyDescent="0.2">
      <c r="A402" s="1"/>
    </row>
    <row r="403" spans="1:1" ht="15.75" customHeight="1" x14ac:dyDescent="0.2">
      <c r="A403" s="1"/>
    </row>
    <row r="404" spans="1:1" ht="15.75" customHeight="1" x14ac:dyDescent="0.2">
      <c r="A404" s="1"/>
    </row>
    <row r="405" spans="1:1" ht="15.75" customHeight="1" x14ac:dyDescent="0.2">
      <c r="A405" s="1"/>
    </row>
    <row r="406" spans="1:1" ht="15.75" customHeight="1" x14ac:dyDescent="0.2">
      <c r="A406" s="1"/>
    </row>
    <row r="407" spans="1:1" ht="15.75" customHeight="1" x14ac:dyDescent="0.2">
      <c r="A407" s="1"/>
    </row>
    <row r="408" spans="1:1" ht="15.75" customHeight="1" x14ac:dyDescent="0.2">
      <c r="A408" s="1"/>
    </row>
    <row r="409" spans="1:1" ht="15.75" customHeight="1" x14ac:dyDescent="0.2">
      <c r="A409" s="1"/>
    </row>
    <row r="410" spans="1:1" ht="15.75" customHeight="1" x14ac:dyDescent="0.2">
      <c r="A410" s="1"/>
    </row>
    <row r="411" spans="1:1" ht="15.75" customHeight="1" x14ac:dyDescent="0.2">
      <c r="A411" s="1"/>
    </row>
    <row r="412" spans="1:1" ht="15.75" customHeight="1" x14ac:dyDescent="0.2">
      <c r="A412" s="1"/>
    </row>
    <row r="413" spans="1:1" ht="15.75" customHeight="1" x14ac:dyDescent="0.2">
      <c r="A413" s="1"/>
    </row>
    <row r="414" spans="1:1" ht="15.75" customHeight="1" x14ac:dyDescent="0.2">
      <c r="A414" s="1"/>
    </row>
    <row r="415" spans="1:1" ht="15.75" customHeight="1" x14ac:dyDescent="0.2">
      <c r="A415" s="1"/>
    </row>
    <row r="416" spans="1:1" ht="15.75" customHeight="1" x14ac:dyDescent="0.2">
      <c r="A416" s="1"/>
    </row>
    <row r="417" spans="1:1" ht="15.75" customHeight="1" x14ac:dyDescent="0.2">
      <c r="A417" s="1"/>
    </row>
    <row r="418" spans="1:1" ht="15.75" customHeight="1" x14ac:dyDescent="0.2">
      <c r="A418" s="1"/>
    </row>
    <row r="419" spans="1:1" ht="15.75" customHeight="1" x14ac:dyDescent="0.2">
      <c r="A419" s="1"/>
    </row>
    <row r="420" spans="1:1" ht="15.75" customHeight="1" x14ac:dyDescent="0.2">
      <c r="A420" s="1"/>
    </row>
    <row r="421" spans="1:1" ht="15.75" customHeight="1" x14ac:dyDescent="0.2">
      <c r="A421" s="1"/>
    </row>
    <row r="422" spans="1:1" ht="15.75" customHeight="1" x14ac:dyDescent="0.2">
      <c r="A422" s="1"/>
    </row>
    <row r="423" spans="1:1" ht="15.75" customHeight="1" x14ac:dyDescent="0.2">
      <c r="A423" s="1"/>
    </row>
    <row r="424" spans="1:1" ht="15.75" customHeight="1" x14ac:dyDescent="0.2">
      <c r="A424" s="1"/>
    </row>
    <row r="425" spans="1:1" ht="15.75" customHeight="1" x14ac:dyDescent="0.2">
      <c r="A425" s="1"/>
    </row>
    <row r="426" spans="1:1" ht="15.75" customHeight="1" x14ac:dyDescent="0.2">
      <c r="A426" s="1"/>
    </row>
    <row r="427" spans="1:1" ht="15.75" customHeight="1" x14ac:dyDescent="0.2">
      <c r="A427" s="1"/>
    </row>
    <row r="428" spans="1:1" ht="15.75" customHeight="1" x14ac:dyDescent="0.2">
      <c r="A428" s="1"/>
    </row>
    <row r="429" spans="1:1" ht="15.75" customHeight="1" x14ac:dyDescent="0.2">
      <c r="A429" s="1"/>
    </row>
    <row r="430" spans="1:1" ht="15.75" customHeight="1" x14ac:dyDescent="0.2">
      <c r="A430" s="1"/>
    </row>
    <row r="431" spans="1:1" ht="15.75" customHeight="1" x14ac:dyDescent="0.2">
      <c r="A431" s="1"/>
    </row>
    <row r="432" spans="1:1" ht="15.75" customHeight="1" x14ac:dyDescent="0.2">
      <c r="A432" s="1"/>
    </row>
    <row r="433" spans="1:1" ht="15.75" customHeight="1" x14ac:dyDescent="0.2">
      <c r="A433" s="1"/>
    </row>
    <row r="434" spans="1:1" ht="15.75" customHeight="1" x14ac:dyDescent="0.2">
      <c r="A434" s="1"/>
    </row>
    <row r="435" spans="1:1" ht="15.75" customHeight="1" x14ac:dyDescent="0.2">
      <c r="A435" s="1"/>
    </row>
    <row r="436" spans="1:1" ht="15.75" customHeight="1" x14ac:dyDescent="0.2">
      <c r="A436" s="1"/>
    </row>
    <row r="437" spans="1:1" ht="15.75" customHeight="1" x14ac:dyDescent="0.2">
      <c r="A437" s="1"/>
    </row>
    <row r="438" spans="1:1" ht="15.75" customHeight="1" x14ac:dyDescent="0.2">
      <c r="A438" s="1"/>
    </row>
    <row r="439" spans="1:1" ht="15.75" customHeight="1" x14ac:dyDescent="0.2">
      <c r="A439" s="1"/>
    </row>
    <row r="440" spans="1:1" ht="15.75" customHeight="1" x14ac:dyDescent="0.2">
      <c r="A440" s="1"/>
    </row>
    <row r="441" spans="1:1" ht="15.75" customHeight="1" x14ac:dyDescent="0.2">
      <c r="A441" s="1"/>
    </row>
    <row r="442" spans="1:1" ht="15.75" customHeight="1" x14ac:dyDescent="0.2">
      <c r="A442" s="1"/>
    </row>
    <row r="443" spans="1:1" ht="15.75" customHeight="1" x14ac:dyDescent="0.2">
      <c r="A443" s="1"/>
    </row>
    <row r="444" spans="1:1" ht="15.75" customHeight="1" x14ac:dyDescent="0.2">
      <c r="A444" s="1"/>
    </row>
    <row r="445" spans="1:1" ht="15.75" customHeight="1" x14ac:dyDescent="0.2">
      <c r="A445" s="1"/>
    </row>
    <row r="446" spans="1:1" ht="15.75" customHeight="1" x14ac:dyDescent="0.2">
      <c r="A446" s="1"/>
    </row>
    <row r="447" spans="1:1" ht="15.75" customHeight="1" x14ac:dyDescent="0.2">
      <c r="A447" s="1"/>
    </row>
    <row r="448" spans="1:1" ht="15.75" customHeight="1" x14ac:dyDescent="0.2">
      <c r="A448" s="1"/>
    </row>
    <row r="449" spans="1:1" ht="15.75" customHeight="1" x14ac:dyDescent="0.2">
      <c r="A449" s="1"/>
    </row>
    <row r="450" spans="1:1" ht="15.75" customHeight="1" x14ac:dyDescent="0.2">
      <c r="A450" s="1"/>
    </row>
    <row r="451" spans="1:1" ht="15.75" customHeight="1" x14ac:dyDescent="0.2">
      <c r="A451" s="1"/>
    </row>
    <row r="452" spans="1:1" ht="15.75" customHeight="1" x14ac:dyDescent="0.2">
      <c r="A452" s="1"/>
    </row>
    <row r="453" spans="1:1" ht="15.75" customHeight="1" x14ac:dyDescent="0.2">
      <c r="A453" s="1"/>
    </row>
    <row r="454" spans="1:1" ht="15.75" customHeight="1" x14ac:dyDescent="0.2">
      <c r="A454" s="1"/>
    </row>
    <row r="455" spans="1:1" ht="15.75" customHeight="1" x14ac:dyDescent="0.2">
      <c r="A455" s="1"/>
    </row>
    <row r="456" spans="1:1" ht="15.75" customHeight="1" x14ac:dyDescent="0.2">
      <c r="A456" s="1"/>
    </row>
    <row r="457" spans="1:1" ht="15.75" customHeight="1" x14ac:dyDescent="0.2">
      <c r="A457" s="1"/>
    </row>
    <row r="458" spans="1:1" ht="15.75" customHeight="1" x14ac:dyDescent="0.2">
      <c r="A458" s="1"/>
    </row>
    <row r="459" spans="1:1" ht="15.75" customHeight="1" x14ac:dyDescent="0.2">
      <c r="A459" s="1"/>
    </row>
    <row r="460" spans="1:1" ht="15.75" customHeight="1" x14ac:dyDescent="0.2">
      <c r="A460" s="1"/>
    </row>
    <row r="461" spans="1:1" ht="15.75" customHeight="1" x14ac:dyDescent="0.2">
      <c r="A461" s="1"/>
    </row>
    <row r="462" spans="1:1" ht="15.75" customHeight="1" x14ac:dyDescent="0.2">
      <c r="A462" s="1"/>
    </row>
    <row r="463" spans="1:1" ht="15.75" customHeight="1" x14ac:dyDescent="0.2">
      <c r="A463" s="1"/>
    </row>
    <row r="464" spans="1:1" ht="15.75" customHeight="1" x14ac:dyDescent="0.2">
      <c r="A464" s="1"/>
    </row>
    <row r="465" spans="1:1" ht="15.75" customHeight="1" x14ac:dyDescent="0.2">
      <c r="A465" s="1"/>
    </row>
    <row r="466" spans="1:1" ht="15.75" customHeight="1" x14ac:dyDescent="0.2">
      <c r="A466" s="1"/>
    </row>
    <row r="467" spans="1:1" ht="15.75" customHeight="1" x14ac:dyDescent="0.2">
      <c r="A467" s="1"/>
    </row>
    <row r="468" spans="1:1" ht="15.75" customHeight="1" x14ac:dyDescent="0.2">
      <c r="A468" s="1"/>
    </row>
    <row r="469" spans="1:1" ht="15.75" customHeight="1" x14ac:dyDescent="0.2">
      <c r="A469" s="1"/>
    </row>
    <row r="470" spans="1:1" ht="15.75" customHeight="1" x14ac:dyDescent="0.2">
      <c r="A470" s="1"/>
    </row>
    <row r="471" spans="1:1" ht="15.75" customHeight="1" x14ac:dyDescent="0.2">
      <c r="A471" s="1"/>
    </row>
    <row r="472" spans="1:1" ht="15.75" customHeight="1" x14ac:dyDescent="0.2">
      <c r="A472" s="1"/>
    </row>
    <row r="473" spans="1:1" ht="15.75" customHeight="1" x14ac:dyDescent="0.2">
      <c r="A473" s="1"/>
    </row>
    <row r="474" spans="1:1" ht="15.75" customHeight="1" x14ac:dyDescent="0.2">
      <c r="A474" s="1"/>
    </row>
    <row r="475" spans="1:1" ht="15.75" customHeight="1" x14ac:dyDescent="0.2">
      <c r="A475" s="1"/>
    </row>
    <row r="476" spans="1:1" ht="15.75" customHeight="1" x14ac:dyDescent="0.2">
      <c r="A476" s="1"/>
    </row>
    <row r="477" spans="1:1" ht="15.75" customHeight="1" x14ac:dyDescent="0.2">
      <c r="A477" s="1"/>
    </row>
    <row r="478" spans="1:1" ht="15.75" customHeight="1" x14ac:dyDescent="0.2">
      <c r="A478" s="1"/>
    </row>
    <row r="479" spans="1:1" ht="15.75" customHeight="1" x14ac:dyDescent="0.2">
      <c r="A479" s="1"/>
    </row>
    <row r="480" spans="1:1" ht="15.75" customHeight="1" x14ac:dyDescent="0.2">
      <c r="A480" s="1"/>
    </row>
    <row r="481" spans="1:1" ht="15.75" customHeight="1" x14ac:dyDescent="0.2">
      <c r="A481" s="1"/>
    </row>
    <row r="482" spans="1:1" ht="15.75" customHeight="1" x14ac:dyDescent="0.2">
      <c r="A482" s="1"/>
    </row>
    <row r="483" spans="1:1" ht="15.75" customHeight="1" x14ac:dyDescent="0.2">
      <c r="A483" s="1"/>
    </row>
    <row r="484" spans="1:1" ht="15.75" customHeight="1" x14ac:dyDescent="0.2">
      <c r="A484" s="1"/>
    </row>
    <row r="485" spans="1:1" ht="15.75" customHeight="1" x14ac:dyDescent="0.2">
      <c r="A485" s="1"/>
    </row>
    <row r="486" spans="1:1" ht="15.75" customHeight="1" x14ac:dyDescent="0.2">
      <c r="A486" s="1"/>
    </row>
    <row r="487" spans="1:1" ht="15.75" customHeight="1" x14ac:dyDescent="0.2">
      <c r="A487" s="1"/>
    </row>
    <row r="488" spans="1:1" ht="15.75" customHeight="1" x14ac:dyDescent="0.2">
      <c r="A488" s="1"/>
    </row>
    <row r="489" spans="1:1" ht="15.75" customHeight="1" x14ac:dyDescent="0.2">
      <c r="A489" s="1"/>
    </row>
    <row r="490" spans="1:1" ht="15.75" customHeight="1" x14ac:dyDescent="0.2">
      <c r="A490" s="1"/>
    </row>
    <row r="491" spans="1:1" ht="15.75" customHeight="1" x14ac:dyDescent="0.2">
      <c r="A491" s="1"/>
    </row>
    <row r="492" spans="1:1" ht="15.75" customHeight="1" x14ac:dyDescent="0.2">
      <c r="A492" s="1"/>
    </row>
    <row r="493" spans="1:1" ht="15.75" customHeight="1" x14ac:dyDescent="0.2">
      <c r="A493" s="1"/>
    </row>
    <row r="494" spans="1:1" ht="15.75" customHeight="1" x14ac:dyDescent="0.2">
      <c r="A494" s="1"/>
    </row>
    <row r="495" spans="1:1" ht="15.75" customHeight="1" x14ac:dyDescent="0.2">
      <c r="A495" s="1"/>
    </row>
    <row r="496" spans="1:1" ht="15.75" customHeight="1" x14ac:dyDescent="0.2">
      <c r="A496" s="1"/>
    </row>
    <row r="497" spans="1:1" ht="15.75" customHeight="1" x14ac:dyDescent="0.2">
      <c r="A497" s="1"/>
    </row>
    <row r="498" spans="1:1" ht="15.75" customHeight="1" x14ac:dyDescent="0.2">
      <c r="A498" s="1"/>
    </row>
    <row r="499" spans="1:1" ht="15.75" customHeight="1" x14ac:dyDescent="0.2">
      <c r="A499" s="1"/>
    </row>
    <row r="500" spans="1:1" ht="15.75" customHeight="1" x14ac:dyDescent="0.2">
      <c r="A500" s="1"/>
    </row>
    <row r="501" spans="1:1" ht="15.75" customHeight="1" x14ac:dyDescent="0.2">
      <c r="A501" s="1"/>
    </row>
    <row r="502" spans="1:1" ht="15.75" customHeight="1" x14ac:dyDescent="0.2">
      <c r="A502" s="1"/>
    </row>
    <row r="503" spans="1:1" ht="15.75" customHeight="1" x14ac:dyDescent="0.2">
      <c r="A503" s="1"/>
    </row>
    <row r="504" spans="1:1" ht="15.75" customHeight="1" x14ac:dyDescent="0.2">
      <c r="A504" s="1"/>
    </row>
    <row r="505" spans="1:1" ht="15.75" customHeight="1" x14ac:dyDescent="0.2">
      <c r="A505" s="1"/>
    </row>
    <row r="506" spans="1:1" ht="15.75" customHeight="1" x14ac:dyDescent="0.2">
      <c r="A506" s="1"/>
    </row>
    <row r="507" spans="1:1" ht="15.75" customHeight="1" x14ac:dyDescent="0.2">
      <c r="A507" s="1"/>
    </row>
    <row r="508" spans="1:1" ht="15.75" customHeight="1" x14ac:dyDescent="0.2">
      <c r="A508" s="1"/>
    </row>
    <row r="509" spans="1:1" ht="15.75" customHeight="1" x14ac:dyDescent="0.2">
      <c r="A509" s="1"/>
    </row>
    <row r="510" spans="1:1" ht="15.75" customHeight="1" x14ac:dyDescent="0.2">
      <c r="A510" s="1"/>
    </row>
    <row r="511" spans="1:1" ht="15.75" customHeight="1" x14ac:dyDescent="0.2">
      <c r="A511" s="1"/>
    </row>
    <row r="512" spans="1:1" ht="15.75" customHeight="1" x14ac:dyDescent="0.2">
      <c r="A512" s="1"/>
    </row>
    <row r="513" spans="1:1" ht="15.75" customHeight="1" x14ac:dyDescent="0.2">
      <c r="A513" s="1"/>
    </row>
    <row r="514" spans="1:1" ht="15.75" customHeight="1" x14ac:dyDescent="0.2">
      <c r="A514" s="1"/>
    </row>
    <row r="515" spans="1:1" ht="15.75" customHeight="1" x14ac:dyDescent="0.2">
      <c r="A515" s="1"/>
    </row>
    <row r="516" spans="1:1" ht="15.75" customHeight="1" x14ac:dyDescent="0.2">
      <c r="A516" s="1"/>
    </row>
    <row r="517" spans="1:1" ht="15.75" customHeight="1" x14ac:dyDescent="0.2">
      <c r="A517" s="1"/>
    </row>
    <row r="518" spans="1:1" ht="15.75" customHeight="1" x14ac:dyDescent="0.2">
      <c r="A518" s="1"/>
    </row>
    <row r="519" spans="1:1" ht="15.75" customHeight="1" x14ac:dyDescent="0.2">
      <c r="A519" s="1"/>
    </row>
    <row r="520" spans="1:1" ht="15.75" customHeight="1" x14ac:dyDescent="0.2">
      <c r="A520" s="1"/>
    </row>
    <row r="521" spans="1:1" ht="15.75" customHeight="1" x14ac:dyDescent="0.2">
      <c r="A521" s="1"/>
    </row>
    <row r="522" spans="1:1" ht="15.75" customHeight="1" x14ac:dyDescent="0.2">
      <c r="A522" s="1"/>
    </row>
    <row r="523" spans="1:1" ht="15.75" customHeight="1" x14ac:dyDescent="0.2">
      <c r="A523" s="1"/>
    </row>
    <row r="524" spans="1:1" ht="15.75" customHeight="1" x14ac:dyDescent="0.2">
      <c r="A524" s="1"/>
    </row>
    <row r="525" spans="1:1" ht="15.75" customHeight="1" x14ac:dyDescent="0.2">
      <c r="A525" s="1"/>
    </row>
    <row r="526" spans="1:1" ht="15.75" customHeight="1" x14ac:dyDescent="0.2">
      <c r="A526" s="1"/>
    </row>
    <row r="527" spans="1:1" ht="15.75" customHeight="1" x14ac:dyDescent="0.2">
      <c r="A527" s="1"/>
    </row>
    <row r="528" spans="1:1" ht="15.75" customHeight="1" x14ac:dyDescent="0.2">
      <c r="A528" s="1"/>
    </row>
    <row r="529" spans="1:1" ht="15.75" customHeight="1" x14ac:dyDescent="0.2">
      <c r="A529" s="1"/>
    </row>
    <row r="530" spans="1:1" ht="15.75" customHeight="1" x14ac:dyDescent="0.2">
      <c r="A530" s="1"/>
    </row>
    <row r="531" spans="1:1" ht="15.75" customHeight="1" x14ac:dyDescent="0.2">
      <c r="A531" s="1"/>
    </row>
    <row r="532" spans="1:1" ht="15.75" customHeight="1" x14ac:dyDescent="0.2">
      <c r="A532" s="1"/>
    </row>
    <row r="533" spans="1:1" ht="15.75" customHeight="1" x14ac:dyDescent="0.2">
      <c r="A533" s="1"/>
    </row>
    <row r="534" spans="1:1" ht="15.75" customHeight="1" x14ac:dyDescent="0.2">
      <c r="A534" s="1"/>
    </row>
    <row r="535" spans="1:1" ht="15.75" customHeight="1" x14ac:dyDescent="0.2">
      <c r="A535" s="1"/>
    </row>
    <row r="536" spans="1:1" ht="15.75" customHeight="1" x14ac:dyDescent="0.2">
      <c r="A536" s="1"/>
    </row>
    <row r="537" spans="1:1" ht="15.75" customHeight="1" x14ac:dyDescent="0.2">
      <c r="A537" s="1"/>
    </row>
    <row r="538" spans="1:1" ht="15.75" customHeight="1" x14ac:dyDescent="0.2">
      <c r="A538" s="1"/>
    </row>
    <row r="539" spans="1:1" ht="15.75" customHeight="1" x14ac:dyDescent="0.2">
      <c r="A539" s="1"/>
    </row>
    <row r="540" spans="1:1" ht="15.75" customHeight="1" x14ac:dyDescent="0.2">
      <c r="A540" s="1"/>
    </row>
    <row r="541" spans="1:1" ht="15.75" customHeight="1" x14ac:dyDescent="0.2">
      <c r="A541" s="1"/>
    </row>
    <row r="542" spans="1:1" ht="15.75" customHeight="1" x14ac:dyDescent="0.2">
      <c r="A542" s="1"/>
    </row>
    <row r="543" spans="1:1" ht="15.75" customHeight="1" x14ac:dyDescent="0.2">
      <c r="A543" s="1"/>
    </row>
    <row r="544" spans="1:1" ht="15.75" customHeight="1" x14ac:dyDescent="0.2">
      <c r="A544" s="1"/>
    </row>
    <row r="545" spans="1:1" ht="15.75" customHeight="1" x14ac:dyDescent="0.2">
      <c r="A545" s="1"/>
    </row>
    <row r="546" spans="1:1" ht="15.75" customHeight="1" x14ac:dyDescent="0.2">
      <c r="A546" s="1"/>
    </row>
    <row r="547" spans="1:1" ht="15.75" customHeight="1" x14ac:dyDescent="0.2">
      <c r="A547" s="1"/>
    </row>
    <row r="548" spans="1:1" ht="15.75" customHeight="1" x14ac:dyDescent="0.2">
      <c r="A548" s="1"/>
    </row>
    <row r="549" spans="1:1" ht="15.75" customHeight="1" x14ac:dyDescent="0.2">
      <c r="A549" s="1"/>
    </row>
    <row r="550" spans="1:1" ht="15.75" customHeight="1" x14ac:dyDescent="0.2">
      <c r="A550" s="1"/>
    </row>
    <row r="551" spans="1:1" ht="15.75" customHeight="1" x14ac:dyDescent="0.2">
      <c r="A551" s="1"/>
    </row>
    <row r="552" spans="1:1" ht="15.75" customHeight="1" x14ac:dyDescent="0.2">
      <c r="A552" s="1"/>
    </row>
    <row r="553" spans="1:1" ht="15.75" customHeight="1" x14ac:dyDescent="0.2">
      <c r="A553" s="1"/>
    </row>
    <row r="554" spans="1:1" ht="15.75" customHeight="1" x14ac:dyDescent="0.2">
      <c r="A554" s="1"/>
    </row>
    <row r="555" spans="1:1" ht="15.75" customHeight="1" x14ac:dyDescent="0.2">
      <c r="A555" s="1"/>
    </row>
    <row r="556" spans="1:1" ht="15.75" customHeight="1" x14ac:dyDescent="0.2">
      <c r="A556" s="1"/>
    </row>
    <row r="557" spans="1:1" ht="15.75" customHeight="1" x14ac:dyDescent="0.2">
      <c r="A557" s="1"/>
    </row>
    <row r="558" spans="1:1" ht="15.75" customHeight="1" x14ac:dyDescent="0.2">
      <c r="A558" s="1"/>
    </row>
    <row r="559" spans="1:1" ht="15.75" customHeight="1" x14ac:dyDescent="0.2">
      <c r="A559" s="1"/>
    </row>
    <row r="560" spans="1:1" ht="15.75" customHeight="1" x14ac:dyDescent="0.2">
      <c r="A560" s="1"/>
    </row>
    <row r="561" spans="1:1" ht="15.75" customHeight="1" x14ac:dyDescent="0.2">
      <c r="A561" s="1"/>
    </row>
    <row r="562" spans="1:1" ht="15.75" customHeight="1" x14ac:dyDescent="0.2">
      <c r="A562" s="1"/>
    </row>
    <row r="563" spans="1:1" ht="15.75" customHeight="1" x14ac:dyDescent="0.2">
      <c r="A563" s="1"/>
    </row>
    <row r="564" spans="1:1" ht="15.75" customHeight="1" x14ac:dyDescent="0.2">
      <c r="A564" s="1"/>
    </row>
    <row r="565" spans="1:1" ht="15.75" customHeight="1" x14ac:dyDescent="0.2">
      <c r="A565" s="1"/>
    </row>
    <row r="566" spans="1:1" ht="15.75" customHeight="1" x14ac:dyDescent="0.2">
      <c r="A566" s="1"/>
    </row>
    <row r="567" spans="1:1" ht="15.75" customHeight="1" x14ac:dyDescent="0.2">
      <c r="A567" s="1"/>
    </row>
    <row r="568" spans="1:1" ht="15.75" customHeight="1" x14ac:dyDescent="0.2">
      <c r="A568" s="1"/>
    </row>
    <row r="569" spans="1:1" ht="15.75" customHeight="1" x14ac:dyDescent="0.2">
      <c r="A569" s="1"/>
    </row>
    <row r="570" spans="1:1" ht="15.75" customHeight="1" x14ac:dyDescent="0.2">
      <c r="A570" s="1"/>
    </row>
    <row r="571" spans="1:1" ht="15.75" customHeight="1" x14ac:dyDescent="0.2">
      <c r="A571" s="1"/>
    </row>
    <row r="572" spans="1:1" ht="15.75" customHeight="1" x14ac:dyDescent="0.2">
      <c r="A572" s="1"/>
    </row>
    <row r="573" spans="1:1" ht="15.75" customHeight="1" x14ac:dyDescent="0.2">
      <c r="A573" s="1"/>
    </row>
    <row r="574" spans="1:1" ht="15.75" customHeight="1" x14ac:dyDescent="0.2">
      <c r="A574" s="1"/>
    </row>
    <row r="575" spans="1:1" ht="15.75" customHeight="1" x14ac:dyDescent="0.2">
      <c r="A575" s="1"/>
    </row>
    <row r="576" spans="1:1" ht="15.75" customHeight="1" x14ac:dyDescent="0.2">
      <c r="A576" s="1"/>
    </row>
    <row r="577" spans="1:1" ht="15.75" customHeight="1" x14ac:dyDescent="0.2">
      <c r="A577" s="1"/>
    </row>
    <row r="578" spans="1:1" ht="15.75" customHeight="1" x14ac:dyDescent="0.2">
      <c r="A578" s="1"/>
    </row>
    <row r="579" spans="1:1" ht="15.75" customHeight="1" x14ac:dyDescent="0.2">
      <c r="A579" s="1"/>
    </row>
    <row r="580" spans="1:1" ht="15.75" customHeight="1" x14ac:dyDescent="0.2">
      <c r="A580" s="1"/>
    </row>
    <row r="581" spans="1:1" ht="15.75" customHeight="1" x14ac:dyDescent="0.2">
      <c r="A581" s="1"/>
    </row>
    <row r="582" spans="1:1" ht="15.75" customHeight="1" x14ac:dyDescent="0.2">
      <c r="A582" s="1"/>
    </row>
    <row r="583" spans="1:1" ht="15.75" customHeight="1" x14ac:dyDescent="0.2">
      <c r="A583" s="1"/>
    </row>
    <row r="584" spans="1:1" ht="15.75" customHeight="1" x14ac:dyDescent="0.2">
      <c r="A584" s="1"/>
    </row>
    <row r="585" spans="1:1" ht="15.75" customHeight="1" x14ac:dyDescent="0.2">
      <c r="A585" s="1"/>
    </row>
    <row r="586" spans="1:1" ht="15.75" customHeight="1" x14ac:dyDescent="0.2">
      <c r="A586" s="1"/>
    </row>
    <row r="587" spans="1:1" ht="15.75" customHeight="1" x14ac:dyDescent="0.2">
      <c r="A587" s="1"/>
    </row>
    <row r="588" spans="1:1" ht="15.75" customHeight="1" x14ac:dyDescent="0.2">
      <c r="A588" s="1"/>
    </row>
    <row r="589" spans="1:1" ht="15.75" customHeight="1" x14ac:dyDescent="0.2">
      <c r="A589" s="1"/>
    </row>
    <row r="590" spans="1:1" ht="15.75" customHeight="1" x14ac:dyDescent="0.2">
      <c r="A590" s="1"/>
    </row>
    <row r="591" spans="1:1" ht="15.75" customHeight="1" x14ac:dyDescent="0.2">
      <c r="A591" s="1"/>
    </row>
    <row r="592" spans="1:1" ht="15.75" customHeight="1" x14ac:dyDescent="0.2">
      <c r="A592" s="1"/>
    </row>
    <row r="593" spans="1:1" ht="15.75" customHeight="1" x14ac:dyDescent="0.2">
      <c r="A593" s="1"/>
    </row>
    <row r="594" spans="1:1" ht="15.75" customHeight="1" x14ac:dyDescent="0.2">
      <c r="A594" s="1"/>
    </row>
    <row r="595" spans="1:1" ht="15.75" customHeight="1" x14ac:dyDescent="0.2">
      <c r="A595" s="1"/>
    </row>
    <row r="596" spans="1:1" ht="15.75" customHeight="1" x14ac:dyDescent="0.2">
      <c r="A596" s="1"/>
    </row>
    <row r="597" spans="1:1" ht="15.75" customHeight="1" x14ac:dyDescent="0.2">
      <c r="A597" s="1"/>
    </row>
    <row r="598" spans="1:1" ht="15.75" customHeight="1" x14ac:dyDescent="0.2">
      <c r="A598" s="1"/>
    </row>
    <row r="599" spans="1:1" ht="15.75" customHeight="1" x14ac:dyDescent="0.2">
      <c r="A599" s="1"/>
    </row>
    <row r="600" spans="1:1" ht="15.75" customHeight="1" x14ac:dyDescent="0.2">
      <c r="A600" s="1"/>
    </row>
    <row r="601" spans="1:1" ht="15.75" customHeight="1" x14ac:dyDescent="0.2">
      <c r="A601" s="1"/>
    </row>
    <row r="602" spans="1:1" ht="15.75" customHeight="1" x14ac:dyDescent="0.2">
      <c r="A602" s="1"/>
    </row>
    <row r="603" spans="1:1" ht="15.75" customHeight="1" x14ac:dyDescent="0.2">
      <c r="A603" s="1"/>
    </row>
    <row r="604" spans="1:1" ht="15.75" customHeight="1" x14ac:dyDescent="0.2">
      <c r="A604" s="1"/>
    </row>
    <row r="605" spans="1:1" ht="15.75" customHeight="1" x14ac:dyDescent="0.2">
      <c r="A605" s="1"/>
    </row>
    <row r="606" spans="1:1" ht="15.75" customHeight="1" x14ac:dyDescent="0.2">
      <c r="A606" s="1"/>
    </row>
    <row r="607" spans="1:1" ht="15.75" customHeight="1" x14ac:dyDescent="0.2">
      <c r="A607" s="1"/>
    </row>
    <row r="608" spans="1:1" ht="15.75" customHeight="1" x14ac:dyDescent="0.2">
      <c r="A608" s="1"/>
    </row>
    <row r="609" spans="1:1" ht="15.75" customHeight="1" x14ac:dyDescent="0.2">
      <c r="A609" s="1"/>
    </row>
    <row r="610" spans="1:1" ht="15.75" customHeight="1" x14ac:dyDescent="0.2">
      <c r="A610" s="1"/>
    </row>
    <row r="611" spans="1:1" ht="15.75" customHeight="1" x14ac:dyDescent="0.2">
      <c r="A611" s="1"/>
    </row>
    <row r="612" spans="1:1" ht="15.75" customHeight="1" x14ac:dyDescent="0.2">
      <c r="A612" s="1"/>
    </row>
    <row r="613" spans="1:1" ht="15.75" customHeight="1" x14ac:dyDescent="0.2">
      <c r="A613" s="1"/>
    </row>
    <row r="614" spans="1:1" ht="15.75" customHeight="1" x14ac:dyDescent="0.2">
      <c r="A614" s="1"/>
    </row>
    <row r="615" spans="1:1" ht="15.75" customHeight="1" x14ac:dyDescent="0.2">
      <c r="A615" s="1"/>
    </row>
    <row r="616" spans="1:1" ht="15.75" customHeight="1" x14ac:dyDescent="0.2">
      <c r="A616" s="1"/>
    </row>
    <row r="617" spans="1:1" ht="15.75" customHeight="1" x14ac:dyDescent="0.2">
      <c r="A617" s="1"/>
    </row>
    <row r="618" spans="1:1" ht="15.75" customHeight="1" x14ac:dyDescent="0.2">
      <c r="A618" s="1"/>
    </row>
    <row r="619" spans="1:1" ht="15.75" customHeight="1" x14ac:dyDescent="0.2">
      <c r="A619" s="1"/>
    </row>
    <row r="620" spans="1:1" ht="15.75" customHeight="1" x14ac:dyDescent="0.2">
      <c r="A620" s="1"/>
    </row>
    <row r="621" spans="1:1" ht="15.75" customHeight="1" x14ac:dyDescent="0.2">
      <c r="A621" s="1"/>
    </row>
    <row r="622" spans="1:1" ht="15.75" customHeight="1" x14ac:dyDescent="0.2">
      <c r="A622" s="1"/>
    </row>
    <row r="623" spans="1:1" ht="15.75" customHeight="1" x14ac:dyDescent="0.2">
      <c r="A623" s="1"/>
    </row>
    <row r="624" spans="1:1" ht="15.75" customHeight="1" x14ac:dyDescent="0.2">
      <c r="A624" s="1"/>
    </row>
    <row r="625" spans="1:1" ht="15.75" customHeight="1" x14ac:dyDescent="0.2">
      <c r="A625" s="1"/>
    </row>
    <row r="626" spans="1:1" ht="15.75" customHeight="1" x14ac:dyDescent="0.2">
      <c r="A626" s="1"/>
    </row>
    <row r="627" spans="1:1" ht="15.75" customHeight="1" x14ac:dyDescent="0.2">
      <c r="A627" s="1"/>
    </row>
    <row r="628" spans="1:1" ht="15.75" customHeight="1" x14ac:dyDescent="0.2">
      <c r="A628" s="1"/>
    </row>
    <row r="629" spans="1:1" ht="15.75" customHeight="1" x14ac:dyDescent="0.2">
      <c r="A629" s="1"/>
    </row>
    <row r="630" spans="1:1" ht="15.75" customHeight="1" x14ac:dyDescent="0.2">
      <c r="A630" s="1"/>
    </row>
    <row r="631" spans="1:1" ht="15.75" customHeight="1" x14ac:dyDescent="0.2">
      <c r="A631" s="1"/>
    </row>
    <row r="632" spans="1:1" ht="15.75" customHeight="1" x14ac:dyDescent="0.2">
      <c r="A632" s="1"/>
    </row>
    <row r="633" spans="1:1" ht="15.75" customHeight="1" x14ac:dyDescent="0.2">
      <c r="A633" s="1"/>
    </row>
    <row r="634" spans="1:1" ht="15.75" customHeight="1" x14ac:dyDescent="0.2">
      <c r="A634" s="1"/>
    </row>
    <row r="635" spans="1:1" ht="15.75" customHeight="1" x14ac:dyDescent="0.2">
      <c r="A635" s="1"/>
    </row>
    <row r="636" spans="1:1" ht="15.75" customHeight="1" x14ac:dyDescent="0.2">
      <c r="A636" s="1"/>
    </row>
    <row r="637" spans="1:1" ht="15.75" customHeight="1" x14ac:dyDescent="0.2">
      <c r="A637" s="1"/>
    </row>
    <row r="638" spans="1:1" ht="15.75" customHeight="1" x14ac:dyDescent="0.2">
      <c r="A638" s="1"/>
    </row>
    <row r="639" spans="1:1" ht="15.75" customHeight="1" x14ac:dyDescent="0.2">
      <c r="A639" s="1"/>
    </row>
    <row r="640" spans="1:1" ht="15.75" customHeight="1" x14ac:dyDescent="0.2">
      <c r="A640" s="1"/>
    </row>
    <row r="641" spans="1:1" ht="15.75" customHeight="1" x14ac:dyDescent="0.2">
      <c r="A641" s="1"/>
    </row>
    <row r="642" spans="1:1" ht="15.75" customHeight="1" x14ac:dyDescent="0.2">
      <c r="A642" s="1"/>
    </row>
    <row r="643" spans="1:1" ht="15.75" customHeight="1" x14ac:dyDescent="0.2">
      <c r="A643" s="1"/>
    </row>
    <row r="644" spans="1:1" ht="15.75" customHeight="1" x14ac:dyDescent="0.2">
      <c r="A644" s="1"/>
    </row>
    <row r="645" spans="1:1" ht="15.75" customHeight="1" x14ac:dyDescent="0.2">
      <c r="A645" s="1"/>
    </row>
    <row r="646" spans="1:1" ht="15.75" customHeight="1" x14ac:dyDescent="0.2">
      <c r="A646" s="1"/>
    </row>
    <row r="647" spans="1:1" ht="15.75" customHeight="1" x14ac:dyDescent="0.2">
      <c r="A647" s="1"/>
    </row>
    <row r="648" spans="1:1" ht="15.75" customHeight="1" x14ac:dyDescent="0.2">
      <c r="A648" s="1"/>
    </row>
    <row r="649" spans="1:1" ht="15.75" customHeight="1" x14ac:dyDescent="0.2">
      <c r="A649" s="1"/>
    </row>
    <row r="650" spans="1:1" ht="15.75" customHeight="1" x14ac:dyDescent="0.2">
      <c r="A650" s="1"/>
    </row>
    <row r="651" spans="1:1" ht="15.75" customHeight="1" x14ac:dyDescent="0.2">
      <c r="A651" s="1"/>
    </row>
    <row r="652" spans="1:1" ht="15.75" customHeight="1" x14ac:dyDescent="0.2">
      <c r="A652" s="1"/>
    </row>
    <row r="653" spans="1:1" ht="15.75" customHeight="1" x14ac:dyDescent="0.2">
      <c r="A653" s="1"/>
    </row>
    <row r="654" spans="1:1" ht="15.75" customHeight="1" x14ac:dyDescent="0.2">
      <c r="A654" s="1"/>
    </row>
    <row r="655" spans="1:1" ht="15.75" customHeight="1" x14ac:dyDescent="0.2">
      <c r="A655" s="1"/>
    </row>
    <row r="656" spans="1:1" ht="15.75" customHeight="1" x14ac:dyDescent="0.2">
      <c r="A656" s="1"/>
    </row>
    <row r="657" spans="1:1" ht="15.75" customHeight="1" x14ac:dyDescent="0.2">
      <c r="A657" s="1"/>
    </row>
    <row r="658" spans="1:1" ht="15.75" customHeight="1" x14ac:dyDescent="0.2">
      <c r="A658" s="1"/>
    </row>
    <row r="659" spans="1:1" ht="15.75" customHeight="1" x14ac:dyDescent="0.2">
      <c r="A659" s="1"/>
    </row>
    <row r="660" spans="1:1" ht="15.75" customHeight="1" x14ac:dyDescent="0.2">
      <c r="A660" s="1"/>
    </row>
    <row r="661" spans="1:1" ht="15.75" customHeight="1" x14ac:dyDescent="0.2">
      <c r="A661" s="1"/>
    </row>
    <row r="662" spans="1:1" ht="15.75" customHeight="1" x14ac:dyDescent="0.2">
      <c r="A662" s="1"/>
    </row>
    <row r="663" spans="1:1" ht="15.75" customHeight="1" x14ac:dyDescent="0.2">
      <c r="A663" s="1"/>
    </row>
    <row r="664" spans="1:1" ht="15.75" customHeight="1" x14ac:dyDescent="0.2">
      <c r="A664" s="1"/>
    </row>
    <row r="665" spans="1:1" ht="15.75" customHeight="1" x14ac:dyDescent="0.2">
      <c r="A665" s="1"/>
    </row>
    <row r="666" spans="1:1" ht="15.75" customHeight="1" x14ac:dyDescent="0.2">
      <c r="A666" s="1"/>
    </row>
    <row r="667" spans="1:1" ht="15.75" customHeight="1" x14ac:dyDescent="0.2">
      <c r="A667" s="1"/>
    </row>
    <row r="668" spans="1:1" ht="15.75" customHeight="1" x14ac:dyDescent="0.2">
      <c r="A668" s="1"/>
    </row>
    <row r="669" spans="1:1" ht="15.75" customHeight="1" x14ac:dyDescent="0.2">
      <c r="A669" s="1"/>
    </row>
    <row r="670" spans="1:1" ht="15.75" customHeight="1" x14ac:dyDescent="0.2">
      <c r="A670" s="1"/>
    </row>
    <row r="671" spans="1:1" ht="15.75" customHeight="1" x14ac:dyDescent="0.2">
      <c r="A671" s="1"/>
    </row>
    <row r="672" spans="1:1" ht="15.75" customHeight="1" x14ac:dyDescent="0.2">
      <c r="A672" s="1"/>
    </row>
    <row r="673" spans="1:1" ht="15.75" customHeight="1" x14ac:dyDescent="0.2">
      <c r="A673" s="1"/>
    </row>
    <row r="674" spans="1:1" ht="15.75" customHeight="1" x14ac:dyDescent="0.2">
      <c r="A674" s="1"/>
    </row>
    <row r="675" spans="1:1" ht="15.75" customHeight="1" x14ac:dyDescent="0.2">
      <c r="A675" s="1"/>
    </row>
    <row r="676" spans="1:1" ht="15.75" customHeight="1" x14ac:dyDescent="0.2">
      <c r="A676" s="1"/>
    </row>
    <row r="677" spans="1:1" ht="15.75" customHeight="1" x14ac:dyDescent="0.2">
      <c r="A677" s="1"/>
    </row>
    <row r="678" spans="1:1" ht="15.75" customHeight="1" x14ac:dyDescent="0.2">
      <c r="A678" s="1"/>
    </row>
    <row r="679" spans="1:1" ht="15.75" customHeight="1" x14ac:dyDescent="0.2">
      <c r="A679" s="1"/>
    </row>
    <row r="680" spans="1:1" ht="15.75" customHeight="1" x14ac:dyDescent="0.2">
      <c r="A680" s="1"/>
    </row>
    <row r="681" spans="1:1" ht="15.75" customHeight="1" x14ac:dyDescent="0.2">
      <c r="A681" s="1"/>
    </row>
    <row r="682" spans="1:1" ht="15.75" customHeight="1" x14ac:dyDescent="0.2">
      <c r="A682" s="1"/>
    </row>
    <row r="683" spans="1:1" ht="15.75" customHeight="1" x14ac:dyDescent="0.2">
      <c r="A683" s="1"/>
    </row>
    <row r="684" spans="1:1" ht="15.75" customHeight="1" x14ac:dyDescent="0.2">
      <c r="A684" s="1"/>
    </row>
    <row r="685" spans="1:1" ht="15.75" customHeight="1" x14ac:dyDescent="0.2">
      <c r="A685" s="1"/>
    </row>
    <row r="686" spans="1:1" ht="15.75" customHeight="1" x14ac:dyDescent="0.2">
      <c r="A686" s="1"/>
    </row>
    <row r="687" spans="1:1" ht="15.75" customHeight="1" x14ac:dyDescent="0.2">
      <c r="A687" s="1"/>
    </row>
    <row r="688" spans="1:1" ht="15.75" customHeight="1" x14ac:dyDescent="0.2">
      <c r="A688" s="1"/>
    </row>
    <row r="689" spans="1:1" ht="15.75" customHeight="1" x14ac:dyDescent="0.2">
      <c r="A689" s="1"/>
    </row>
    <row r="690" spans="1:1" ht="15.75" customHeight="1" x14ac:dyDescent="0.2">
      <c r="A690" s="1"/>
    </row>
    <row r="691" spans="1:1" ht="15.75" customHeight="1" x14ac:dyDescent="0.2">
      <c r="A691" s="1"/>
    </row>
    <row r="692" spans="1:1" ht="15.75" customHeight="1" x14ac:dyDescent="0.2">
      <c r="A692" s="1"/>
    </row>
    <row r="693" spans="1:1" ht="15.75" customHeight="1" x14ac:dyDescent="0.2">
      <c r="A693" s="1"/>
    </row>
    <row r="694" spans="1:1" ht="15.75" customHeight="1" x14ac:dyDescent="0.2">
      <c r="A694" s="1"/>
    </row>
    <row r="695" spans="1:1" ht="15.75" customHeight="1" x14ac:dyDescent="0.2">
      <c r="A695" s="1"/>
    </row>
    <row r="696" spans="1:1" ht="15.75" customHeight="1" x14ac:dyDescent="0.2">
      <c r="A696" s="1"/>
    </row>
    <row r="697" spans="1:1" ht="15.75" customHeight="1" x14ac:dyDescent="0.2">
      <c r="A697" s="1"/>
    </row>
    <row r="698" spans="1:1" ht="15.75" customHeight="1" x14ac:dyDescent="0.2">
      <c r="A698" s="1"/>
    </row>
    <row r="699" spans="1:1" ht="15.75" customHeight="1" x14ac:dyDescent="0.2">
      <c r="A699" s="1"/>
    </row>
    <row r="700" spans="1:1" ht="15.75" customHeight="1" x14ac:dyDescent="0.2">
      <c r="A700" s="1"/>
    </row>
    <row r="701" spans="1:1" ht="15.75" customHeight="1" x14ac:dyDescent="0.2">
      <c r="A701" s="1"/>
    </row>
    <row r="702" spans="1:1" ht="15.75" customHeight="1" x14ac:dyDescent="0.2">
      <c r="A702" s="1"/>
    </row>
    <row r="703" spans="1:1" ht="15.75" customHeight="1" x14ac:dyDescent="0.2">
      <c r="A703" s="1"/>
    </row>
    <row r="704" spans="1:1" ht="15.75" customHeight="1" x14ac:dyDescent="0.2">
      <c r="A704" s="1"/>
    </row>
    <row r="705" spans="1:1" ht="15.75" customHeight="1" x14ac:dyDescent="0.2">
      <c r="A705" s="1"/>
    </row>
    <row r="706" spans="1:1" ht="15.75" customHeight="1" x14ac:dyDescent="0.2">
      <c r="A706" s="1"/>
    </row>
    <row r="707" spans="1:1" ht="15.75" customHeight="1" x14ac:dyDescent="0.2">
      <c r="A707" s="1"/>
    </row>
    <row r="708" spans="1:1" ht="15.75" customHeight="1" x14ac:dyDescent="0.2">
      <c r="A708" s="1"/>
    </row>
    <row r="709" spans="1:1" ht="15.75" customHeight="1" x14ac:dyDescent="0.2">
      <c r="A709" s="1"/>
    </row>
    <row r="710" spans="1:1" ht="15.75" customHeight="1" x14ac:dyDescent="0.2">
      <c r="A710" s="1"/>
    </row>
    <row r="711" spans="1:1" ht="15.75" customHeight="1" x14ac:dyDescent="0.2">
      <c r="A711" s="1"/>
    </row>
    <row r="712" spans="1:1" ht="15.75" customHeight="1" x14ac:dyDescent="0.2">
      <c r="A712" s="1"/>
    </row>
    <row r="713" spans="1:1" ht="15.75" customHeight="1" x14ac:dyDescent="0.2">
      <c r="A713" s="1"/>
    </row>
    <row r="714" spans="1:1" ht="15.75" customHeight="1" x14ac:dyDescent="0.2">
      <c r="A714" s="1"/>
    </row>
    <row r="715" spans="1:1" ht="15.75" customHeight="1" x14ac:dyDescent="0.2">
      <c r="A715" s="1"/>
    </row>
    <row r="716" spans="1:1" ht="15.75" customHeight="1" x14ac:dyDescent="0.2">
      <c r="A716" s="1"/>
    </row>
    <row r="717" spans="1:1" ht="15.75" customHeight="1" x14ac:dyDescent="0.2">
      <c r="A717" s="1"/>
    </row>
    <row r="718" spans="1:1" ht="15.75" customHeight="1" x14ac:dyDescent="0.2">
      <c r="A718" s="1"/>
    </row>
    <row r="719" spans="1:1" ht="15.75" customHeight="1" x14ac:dyDescent="0.2">
      <c r="A719" s="1"/>
    </row>
    <row r="720" spans="1:1" ht="15.75" customHeight="1" x14ac:dyDescent="0.2">
      <c r="A720" s="1"/>
    </row>
    <row r="721" spans="1:1" ht="15.75" customHeight="1" x14ac:dyDescent="0.2">
      <c r="A721" s="1"/>
    </row>
    <row r="722" spans="1:1" ht="15.75" customHeight="1" x14ac:dyDescent="0.2">
      <c r="A722" s="1"/>
    </row>
    <row r="723" spans="1:1" ht="15.75" customHeight="1" x14ac:dyDescent="0.2">
      <c r="A723" s="1"/>
    </row>
    <row r="724" spans="1:1" ht="15.75" customHeight="1" x14ac:dyDescent="0.2">
      <c r="A724" s="1"/>
    </row>
    <row r="725" spans="1:1" ht="15.75" customHeight="1" x14ac:dyDescent="0.2">
      <c r="A725" s="1"/>
    </row>
    <row r="726" spans="1:1" ht="15.75" customHeight="1" x14ac:dyDescent="0.2">
      <c r="A726" s="1"/>
    </row>
    <row r="727" spans="1:1" ht="15.75" customHeight="1" x14ac:dyDescent="0.2">
      <c r="A727" s="1"/>
    </row>
    <row r="728" spans="1:1" ht="15.75" customHeight="1" x14ac:dyDescent="0.2">
      <c r="A728" s="1"/>
    </row>
    <row r="729" spans="1:1" ht="15.75" customHeight="1" x14ac:dyDescent="0.2">
      <c r="A729" s="1"/>
    </row>
    <row r="730" spans="1:1" ht="15.75" customHeight="1" x14ac:dyDescent="0.2">
      <c r="A730" s="1"/>
    </row>
    <row r="731" spans="1:1" ht="15.75" customHeight="1" x14ac:dyDescent="0.2">
      <c r="A731" s="1"/>
    </row>
    <row r="732" spans="1:1" ht="15.75" customHeight="1" x14ac:dyDescent="0.2">
      <c r="A732" s="1"/>
    </row>
    <row r="733" spans="1:1" ht="15.75" customHeight="1" x14ac:dyDescent="0.2">
      <c r="A733" s="1"/>
    </row>
    <row r="734" spans="1:1" ht="15.75" customHeight="1" x14ac:dyDescent="0.2">
      <c r="A734" s="1"/>
    </row>
    <row r="735" spans="1:1" ht="15.75" customHeight="1" x14ac:dyDescent="0.2">
      <c r="A735" s="1"/>
    </row>
    <row r="736" spans="1:1" ht="15.75" customHeight="1" x14ac:dyDescent="0.2">
      <c r="A736" s="1"/>
    </row>
    <row r="737" spans="1:1" ht="15.75" customHeight="1" x14ac:dyDescent="0.2">
      <c r="A737" s="1"/>
    </row>
    <row r="738" spans="1:1" ht="15.75" customHeight="1" x14ac:dyDescent="0.2">
      <c r="A738" s="1"/>
    </row>
    <row r="739" spans="1:1" ht="15.75" customHeight="1" x14ac:dyDescent="0.2">
      <c r="A739" s="1"/>
    </row>
    <row r="740" spans="1:1" ht="15.75" customHeight="1" x14ac:dyDescent="0.2">
      <c r="A740" s="1"/>
    </row>
    <row r="741" spans="1:1" ht="15.75" customHeight="1" x14ac:dyDescent="0.2">
      <c r="A741" s="1"/>
    </row>
    <row r="742" spans="1:1" ht="15.75" customHeight="1" x14ac:dyDescent="0.2">
      <c r="A742" s="1"/>
    </row>
    <row r="743" spans="1:1" ht="15.75" customHeight="1" x14ac:dyDescent="0.2">
      <c r="A743" s="1"/>
    </row>
    <row r="744" spans="1:1" ht="15.75" customHeight="1" x14ac:dyDescent="0.2">
      <c r="A744" s="1"/>
    </row>
    <row r="745" spans="1:1" ht="15.75" customHeight="1" x14ac:dyDescent="0.2">
      <c r="A745" s="1"/>
    </row>
    <row r="746" spans="1:1" ht="15.75" customHeight="1" x14ac:dyDescent="0.2">
      <c r="A746" s="1"/>
    </row>
    <row r="747" spans="1:1" ht="15.75" customHeight="1" x14ac:dyDescent="0.2">
      <c r="A747" s="1"/>
    </row>
    <row r="748" spans="1:1" ht="15.75" customHeight="1" x14ac:dyDescent="0.2">
      <c r="A748" s="1"/>
    </row>
    <row r="749" spans="1:1" ht="15.75" customHeight="1" x14ac:dyDescent="0.2">
      <c r="A749" s="1"/>
    </row>
    <row r="750" spans="1:1" ht="15.75" customHeight="1" x14ac:dyDescent="0.2">
      <c r="A750" s="1"/>
    </row>
    <row r="751" spans="1:1" ht="15.75" customHeight="1" x14ac:dyDescent="0.2">
      <c r="A751" s="1"/>
    </row>
    <row r="752" spans="1:1" ht="15.75" customHeight="1" x14ac:dyDescent="0.2">
      <c r="A752" s="1"/>
    </row>
    <row r="753" spans="1:1" ht="15.75" customHeight="1" x14ac:dyDescent="0.2">
      <c r="A753" s="1"/>
    </row>
    <row r="754" spans="1:1" ht="15.75" customHeight="1" x14ac:dyDescent="0.2">
      <c r="A754" s="1"/>
    </row>
    <row r="755" spans="1:1" ht="15.75" customHeight="1" x14ac:dyDescent="0.2">
      <c r="A755" s="1"/>
    </row>
    <row r="756" spans="1:1" ht="15.75" customHeight="1" x14ac:dyDescent="0.2">
      <c r="A756" s="1"/>
    </row>
    <row r="757" spans="1:1" ht="15.75" customHeight="1" x14ac:dyDescent="0.2">
      <c r="A757" s="1"/>
    </row>
    <row r="758" spans="1:1" ht="15.75" customHeight="1" x14ac:dyDescent="0.2">
      <c r="A758" s="1"/>
    </row>
    <row r="759" spans="1:1" ht="15.75" customHeight="1" x14ac:dyDescent="0.2">
      <c r="A759" s="1"/>
    </row>
    <row r="760" spans="1:1" ht="15.75" customHeight="1" x14ac:dyDescent="0.2">
      <c r="A760" s="1"/>
    </row>
    <row r="761" spans="1:1" ht="15.75" customHeight="1" x14ac:dyDescent="0.2">
      <c r="A761" s="1"/>
    </row>
    <row r="762" spans="1:1" ht="15.75" customHeight="1" x14ac:dyDescent="0.2">
      <c r="A762" s="1"/>
    </row>
    <row r="763" spans="1:1" ht="15.75" customHeight="1" x14ac:dyDescent="0.2">
      <c r="A763" s="1"/>
    </row>
    <row r="764" spans="1:1" ht="15.75" customHeight="1" x14ac:dyDescent="0.2">
      <c r="A764" s="1"/>
    </row>
    <row r="765" spans="1:1" ht="15.75" customHeight="1" x14ac:dyDescent="0.2">
      <c r="A765" s="1"/>
    </row>
    <row r="766" spans="1:1" ht="15.75" customHeight="1" x14ac:dyDescent="0.2">
      <c r="A766" s="1"/>
    </row>
    <row r="767" spans="1:1" ht="15.75" customHeight="1" x14ac:dyDescent="0.2">
      <c r="A767" s="1"/>
    </row>
    <row r="768" spans="1:1" ht="15.75" customHeight="1" x14ac:dyDescent="0.2">
      <c r="A768" s="1"/>
    </row>
    <row r="769" spans="1:1" ht="15.75" customHeight="1" x14ac:dyDescent="0.2">
      <c r="A769" s="1"/>
    </row>
    <row r="770" spans="1:1" ht="15.75" customHeight="1" x14ac:dyDescent="0.2">
      <c r="A770" s="1"/>
    </row>
    <row r="771" spans="1:1" ht="15.75" customHeight="1" x14ac:dyDescent="0.2">
      <c r="A771" s="1"/>
    </row>
    <row r="772" spans="1:1" ht="15.75" customHeight="1" x14ac:dyDescent="0.2">
      <c r="A772" s="1"/>
    </row>
    <row r="773" spans="1:1" ht="15.75" customHeight="1" x14ac:dyDescent="0.2">
      <c r="A773" s="1"/>
    </row>
    <row r="774" spans="1:1" ht="15.75" customHeight="1" x14ac:dyDescent="0.2">
      <c r="A774" s="1"/>
    </row>
    <row r="775" spans="1:1" ht="15.75" customHeight="1" x14ac:dyDescent="0.2">
      <c r="A775" s="1"/>
    </row>
    <row r="776" spans="1:1" ht="15.75" customHeight="1" x14ac:dyDescent="0.2">
      <c r="A776" s="1"/>
    </row>
    <row r="777" spans="1:1" ht="15.75" customHeight="1" x14ac:dyDescent="0.2">
      <c r="A777" s="1"/>
    </row>
    <row r="778" spans="1:1" ht="15.75" customHeight="1" x14ac:dyDescent="0.2">
      <c r="A778" s="1"/>
    </row>
    <row r="779" spans="1:1" ht="15.75" customHeight="1" x14ac:dyDescent="0.2">
      <c r="A779" s="1"/>
    </row>
    <row r="780" spans="1:1" ht="15.75" customHeight="1" x14ac:dyDescent="0.2">
      <c r="A780" s="1"/>
    </row>
    <row r="781" spans="1:1" ht="15.75" customHeight="1" x14ac:dyDescent="0.2">
      <c r="A781" s="1"/>
    </row>
    <row r="782" spans="1:1" ht="15.75" customHeight="1" x14ac:dyDescent="0.2">
      <c r="A782" s="1"/>
    </row>
    <row r="783" spans="1:1" ht="15.75" customHeight="1" x14ac:dyDescent="0.2">
      <c r="A783" s="1"/>
    </row>
    <row r="784" spans="1:1" ht="15.75" customHeight="1" x14ac:dyDescent="0.2">
      <c r="A784" s="1"/>
    </row>
    <row r="785" spans="1:1" ht="15.75" customHeight="1" x14ac:dyDescent="0.2">
      <c r="A785" s="1"/>
    </row>
    <row r="786" spans="1:1" ht="15.75" customHeight="1" x14ac:dyDescent="0.2">
      <c r="A786" s="1"/>
    </row>
    <row r="787" spans="1:1" ht="15.75" customHeight="1" x14ac:dyDescent="0.2">
      <c r="A787" s="1"/>
    </row>
    <row r="788" spans="1:1" ht="15.75" customHeight="1" x14ac:dyDescent="0.2">
      <c r="A788" s="1"/>
    </row>
    <row r="789" spans="1:1" ht="15.75" customHeight="1" x14ac:dyDescent="0.2">
      <c r="A789" s="1"/>
    </row>
    <row r="790" spans="1:1" ht="15.75" customHeight="1" x14ac:dyDescent="0.2">
      <c r="A790" s="1"/>
    </row>
    <row r="791" spans="1:1" ht="15.75" customHeight="1" x14ac:dyDescent="0.2">
      <c r="A791" s="1"/>
    </row>
    <row r="792" spans="1:1" ht="15.75" customHeight="1" x14ac:dyDescent="0.2">
      <c r="A792" s="1"/>
    </row>
    <row r="793" spans="1:1" ht="15.75" customHeight="1" x14ac:dyDescent="0.2">
      <c r="A793" s="1"/>
    </row>
    <row r="794" spans="1:1" ht="15.75" customHeight="1" x14ac:dyDescent="0.2">
      <c r="A794" s="1"/>
    </row>
    <row r="795" spans="1:1" ht="15.75" customHeight="1" x14ac:dyDescent="0.2">
      <c r="A795" s="1"/>
    </row>
    <row r="796" spans="1:1" ht="15.75" customHeight="1" x14ac:dyDescent="0.2">
      <c r="A796" s="1"/>
    </row>
    <row r="797" spans="1:1" ht="15.75" customHeight="1" x14ac:dyDescent="0.2">
      <c r="A797" s="1"/>
    </row>
    <row r="798" spans="1:1" ht="15.75" customHeight="1" x14ac:dyDescent="0.2">
      <c r="A798" s="1"/>
    </row>
    <row r="799" spans="1:1" ht="15.75" customHeight="1" x14ac:dyDescent="0.2">
      <c r="A799" s="1"/>
    </row>
    <row r="800" spans="1:1" ht="15.75" customHeight="1" x14ac:dyDescent="0.2">
      <c r="A800" s="1"/>
    </row>
    <row r="801" spans="1:1" ht="15.75" customHeight="1" x14ac:dyDescent="0.2">
      <c r="A801" s="1"/>
    </row>
    <row r="802" spans="1:1" ht="15.75" customHeight="1" x14ac:dyDescent="0.2">
      <c r="A802" s="1"/>
    </row>
    <row r="803" spans="1:1" ht="15.75" customHeight="1" x14ac:dyDescent="0.2">
      <c r="A803" s="1"/>
    </row>
    <row r="804" spans="1:1" ht="15.75" customHeight="1" x14ac:dyDescent="0.2">
      <c r="A804" s="1"/>
    </row>
    <row r="805" spans="1:1" ht="15.75" customHeight="1" x14ac:dyDescent="0.2">
      <c r="A805" s="1"/>
    </row>
    <row r="806" spans="1:1" ht="15.75" customHeight="1" x14ac:dyDescent="0.2">
      <c r="A806" s="1"/>
    </row>
    <row r="807" spans="1:1" ht="15.75" customHeight="1" x14ac:dyDescent="0.2">
      <c r="A807" s="1"/>
    </row>
    <row r="808" spans="1:1" ht="15.75" customHeight="1" x14ac:dyDescent="0.2">
      <c r="A808" s="1"/>
    </row>
    <row r="809" spans="1:1" ht="15.75" customHeight="1" x14ac:dyDescent="0.2">
      <c r="A809" s="1"/>
    </row>
    <row r="810" spans="1:1" ht="15.75" customHeight="1" x14ac:dyDescent="0.2">
      <c r="A810" s="1"/>
    </row>
    <row r="811" spans="1:1" ht="15.75" customHeight="1" x14ac:dyDescent="0.2">
      <c r="A811" s="1"/>
    </row>
    <row r="812" spans="1:1" ht="15.75" customHeight="1" x14ac:dyDescent="0.2">
      <c r="A812" s="1"/>
    </row>
    <row r="813" spans="1:1" ht="15.75" customHeight="1" x14ac:dyDescent="0.2">
      <c r="A813" s="1"/>
    </row>
    <row r="814" spans="1:1" ht="15.75" customHeight="1" x14ac:dyDescent="0.2">
      <c r="A814" s="1"/>
    </row>
    <row r="815" spans="1:1" ht="15.75" customHeight="1" x14ac:dyDescent="0.2">
      <c r="A815" s="1"/>
    </row>
    <row r="816" spans="1:1" ht="15.75" customHeight="1" x14ac:dyDescent="0.2">
      <c r="A816" s="1"/>
    </row>
    <row r="817" spans="1:1" ht="15.75" customHeight="1" x14ac:dyDescent="0.2">
      <c r="A817" s="1"/>
    </row>
    <row r="818" spans="1:1" ht="15.75" customHeight="1" x14ac:dyDescent="0.2">
      <c r="A818" s="1"/>
    </row>
    <row r="819" spans="1:1" ht="15.75" customHeight="1" x14ac:dyDescent="0.2">
      <c r="A819" s="1"/>
    </row>
    <row r="820" spans="1:1" ht="15.75" customHeight="1" x14ac:dyDescent="0.2">
      <c r="A820" s="1"/>
    </row>
    <row r="821" spans="1:1" ht="15.75" customHeight="1" x14ac:dyDescent="0.2">
      <c r="A821" s="1"/>
    </row>
    <row r="822" spans="1:1" ht="15.75" customHeight="1" x14ac:dyDescent="0.2">
      <c r="A822" s="1"/>
    </row>
    <row r="823" spans="1:1" ht="15.75" customHeight="1" x14ac:dyDescent="0.2">
      <c r="A823" s="1"/>
    </row>
    <row r="824" spans="1:1" ht="15.75" customHeight="1" x14ac:dyDescent="0.2">
      <c r="A824" s="1"/>
    </row>
    <row r="825" spans="1:1" ht="15.75" customHeight="1" x14ac:dyDescent="0.2">
      <c r="A825" s="1"/>
    </row>
    <row r="826" spans="1:1" ht="15.75" customHeight="1" x14ac:dyDescent="0.2">
      <c r="A826" s="1"/>
    </row>
    <row r="827" spans="1:1" ht="15.75" customHeight="1" x14ac:dyDescent="0.2">
      <c r="A827" s="1"/>
    </row>
    <row r="828" spans="1:1" ht="15.75" customHeight="1" x14ac:dyDescent="0.2">
      <c r="A828" s="1"/>
    </row>
    <row r="829" spans="1:1" ht="15.75" customHeight="1" x14ac:dyDescent="0.2">
      <c r="A829" s="1"/>
    </row>
    <row r="830" spans="1:1" ht="15.75" customHeight="1" x14ac:dyDescent="0.2">
      <c r="A830" s="1"/>
    </row>
    <row r="831" spans="1:1" ht="15.75" customHeight="1" x14ac:dyDescent="0.2">
      <c r="A831" s="1"/>
    </row>
    <row r="832" spans="1:1" ht="15.75" customHeight="1" x14ac:dyDescent="0.2">
      <c r="A832" s="1"/>
    </row>
    <row r="833" spans="1:1" ht="15.75" customHeight="1" x14ac:dyDescent="0.2">
      <c r="A833" s="1"/>
    </row>
    <row r="834" spans="1:1" ht="15.75" customHeight="1" x14ac:dyDescent="0.2">
      <c r="A834" s="1"/>
    </row>
    <row r="835" spans="1:1" ht="15.75" customHeight="1" x14ac:dyDescent="0.2">
      <c r="A835" s="1"/>
    </row>
    <row r="836" spans="1:1" ht="15.75" customHeight="1" x14ac:dyDescent="0.2">
      <c r="A836" s="1"/>
    </row>
    <row r="837" spans="1:1" ht="15.75" customHeight="1" x14ac:dyDescent="0.2">
      <c r="A837" s="1"/>
    </row>
    <row r="838" spans="1:1" ht="15.75" customHeight="1" x14ac:dyDescent="0.2">
      <c r="A838" s="1"/>
    </row>
    <row r="839" spans="1:1" ht="15.75" customHeight="1" x14ac:dyDescent="0.2">
      <c r="A839" s="1"/>
    </row>
    <row r="840" spans="1:1" ht="15.75" customHeight="1" x14ac:dyDescent="0.2">
      <c r="A840" s="1"/>
    </row>
    <row r="841" spans="1:1" ht="15.75" customHeight="1" x14ac:dyDescent="0.2">
      <c r="A841" s="1"/>
    </row>
    <row r="842" spans="1:1" ht="15.75" customHeight="1" x14ac:dyDescent="0.2">
      <c r="A842" s="1"/>
    </row>
    <row r="843" spans="1:1" ht="15.75" customHeight="1" x14ac:dyDescent="0.2">
      <c r="A843" s="1"/>
    </row>
    <row r="844" spans="1:1" ht="15.75" customHeight="1" x14ac:dyDescent="0.2">
      <c r="A844" s="1"/>
    </row>
    <row r="845" spans="1:1" ht="15.75" customHeight="1" x14ac:dyDescent="0.2">
      <c r="A845" s="1"/>
    </row>
    <row r="846" spans="1:1" ht="15.75" customHeight="1" x14ac:dyDescent="0.2">
      <c r="A846" s="1"/>
    </row>
    <row r="847" spans="1:1" ht="15.75" customHeight="1" x14ac:dyDescent="0.2">
      <c r="A847" s="1"/>
    </row>
    <row r="848" spans="1:1" ht="15.75" customHeight="1" x14ac:dyDescent="0.2">
      <c r="A848" s="1"/>
    </row>
    <row r="849" spans="1:1" ht="15.75" customHeight="1" x14ac:dyDescent="0.2">
      <c r="A849" s="1"/>
    </row>
    <row r="850" spans="1:1" ht="15.75" customHeight="1" x14ac:dyDescent="0.2">
      <c r="A850" s="1"/>
    </row>
    <row r="851" spans="1:1" ht="15.75" customHeight="1" x14ac:dyDescent="0.2">
      <c r="A851" s="1"/>
    </row>
    <row r="852" spans="1:1" ht="15.75" customHeight="1" x14ac:dyDescent="0.2">
      <c r="A852" s="1"/>
    </row>
    <row r="853" spans="1:1" ht="15.75" customHeight="1" x14ac:dyDescent="0.2">
      <c r="A853" s="1"/>
    </row>
    <row r="854" spans="1:1" ht="15.75" customHeight="1" x14ac:dyDescent="0.2">
      <c r="A854" s="1"/>
    </row>
    <row r="855" spans="1:1" ht="15.75" customHeight="1" x14ac:dyDescent="0.2">
      <c r="A855" s="1"/>
    </row>
    <row r="856" spans="1:1" ht="15.75" customHeight="1" x14ac:dyDescent="0.2">
      <c r="A856" s="1"/>
    </row>
    <row r="857" spans="1:1" ht="15.75" customHeight="1" x14ac:dyDescent="0.2">
      <c r="A857" s="1"/>
    </row>
    <row r="858" spans="1:1" ht="15.75" customHeight="1" x14ac:dyDescent="0.2">
      <c r="A858" s="1"/>
    </row>
    <row r="859" spans="1:1" ht="15.75" customHeight="1" x14ac:dyDescent="0.2">
      <c r="A859" s="1"/>
    </row>
    <row r="860" spans="1:1" ht="15.75" customHeight="1" x14ac:dyDescent="0.2">
      <c r="A860" s="1"/>
    </row>
    <row r="861" spans="1:1" ht="15.75" customHeight="1" x14ac:dyDescent="0.2">
      <c r="A861" s="1"/>
    </row>
    <row r="862" spans="1:1" ht="15.75" customHeight="1" x14ac:dyDescent="0.2">
      <c r="A862" s="1"/>
    </row>
    <row r="863" spans="1:1" ht="15.75" customHeight="1" x14ac:dyDescent="0.2">
      <c r="A863" s="1"/>
    </row>
    <row r="864" spans="1:1" ht="15.75" customHeight="1" x14ac:dyDescent="0.2">
      <c r="A864" s="1"/>
    </row>
    <row r="865" spans="1:1" ht="15.75" customHeight="1" x14ac:dyDescent="0.2">
      <c r="A865" s="1"/>
    </row>
    <row r="866" spans="1:1" ht="15.75" customHeight="1" x14ac:dyDescent="0.2">
      <c r="A866" s="1"/>
    </row>
    <row r="867" spans="1:1" ht="15.75" customHeight="1" x14ac:dyDescent="0.2">
      <c r="A867" s="1"/>
    </row>
    <row r="868" spans="1:1" ht="15.75" customHeight="1" x14ac:dyDescent="0.2">
      <c r="A868" s="1"/>
    </row>
    <row r="869" spans="1:1" ht="15.75" customHeight="1" x14ac:dyDescent="0.2">
      <c r="A869" s="1"/>
    </row>
    <row r="870" spans="1:1" ht="15.75" customHeight="1" x14ac:dyDescent="0.2">
      <c r="A870" s="1"/>
    </row>
    <row r="871" spans="1:1" ht="15.75" customHeight="1" x14ac:dyDescent="0.2">
      <c r="A871" s="1"/>
    </row>
    <row r="872" spans="1:1" ht="15.75" customHeight="1" x14ac:dyDescent="0.2">
      <c r="A872" s="1"/>
    </row>
    <row r="873" spans="1:1" ht="15.75" customHeight="1" x14ac:dyDescent="0.2">
      <c r="A873" s="1"/>
    </row>
    <row r="874" spans="1:1" ht="15.75" customHeight="1" x14ac:dyDescent="0.2">
      <c r="A874" s="1"/>
    </row>
    <row r="875" spans="1:1" ht="15.75" customHeight="1" x14ac:dyDescent="0.2">
      <c r="A875" s="1"/>
    </row>
    <row r="876" spans="1:1" ht="15.75" customHeight="1" x14ac:dyDescent="0.2">
      <c r="A876" s="1"/>
    </row>
    <row r="877" spans="1:1" ht="15.75" customHeight="1" x14ac:dyDescent="0.2">
      <c r="A877" s="1"/>
    </row>
    <row r="878" spans="1:1" ht="15.75" customHeight="1" x14ac:dyDescent="0.2">
      <c r="A878" s="1"/>
    </row>
    <row r="879" spans="1:1" ht="15.75" customHeight="1" x14ac:dyDescent="0.2">
      <c r="A879" s="1"/>
    </row>
    <row r="880" spans="1:1" ht="15.75" customHeight="1" x14ac:dyDescent="0.2">
      <c r="A880" s="1"/>
    </row>
    <row r="881" spans="1:1" ht="15.75" customHeight="1" x14ac:dyDescent="0.2">
      <c r="A881" s="1"/>
    </row>
    <row r="882" spans="1:1" ht="15.75" customHeight="1" x14ac:dyDescent="0.2">
      <c r="A882" s="1"/>
    </row>
    <row r="883" spans="1:1" ht="15.75" customHeight="1" x14ac:dyDescent="0.2">
      <c r="A883" s="1"/>
    </row>
    <row r="884" spans="1:1" ht="15.75" customHeight="1" x14ac:dyDescent="0.2">
      <c r="A884" s="1"/>
    </row>
    <row r="885" spans="1:1" ht="15.75" customHeight="1" x14ac:dyDescent="0.2">
      <c r="A885" s="1"/>
    </row>
    <row r="886" spans="1:1" ht="15.75" customHeight="1" x14ac:dyDescent="0.2">
      <c r="A886" s="1"/>
    </row>
    <row r="887" spans="1:1" ht="15.75" customHeight="1" x14ac:dyDescent="0.2">
      <c r="A887" s="1"/>
    </row>
    <row r="888" spans="1:1" ht="15.75" customHeight="1" x14ac:dyDescent="0.2">
      <c r="A888" s="1"/>
    </row>
    <row r="889" spans="1:1" ht="15.75" customHeight="1" x14ac:dyDescent="0.2">
      <c r="A889" s="1"/>
    </row>
    <row r="890" spans="1:1" ht="15.75" customHeight="1" x14ac:dyDescent="0.2">
      <c r="A890" s="1"/>
    </row>
    <row r="891" spans="1:1" ht="15.75" customHeight="1" x14ac:dyDescent="0.2">
      <c r="A891" s="1"/>
    </row>
    <row r="892" spans="1:1" ht="15.75" customHeight="1" x14ac:dyDescent="0.2">
      <c r="A892" s="1"/>
    </row>
    <row r="893" spans="1:1" ht="15.75" customHeight="1" x14ac:dyDescent="0.2">
      <c r="A893" s="1"/>
    </row>
    <row r="894" spans="1:1" ht="15.75" customHeight="1" x14ac:dyDescent="0.2">
      <c r="A894" s="1"/>
    </row>
    <row r="895" spans="1:1" ht="15.75" customHeight="1" x14ac:dyDescent="0.2">
      <c r="A895" s="1"/>
    </row>
    <row r="896" spans="1:1" ht="15.75" customHeight="1" x14ac:dyDescent="0.2">
      <c r="A896" s="1"/>
    </row>
    <row r="897" spans="1:1" ht="15.75" customHeight="1" x14ac:dyDescent="0.2">
      <c r="A897" s="1"/>
    </row>
    <row r="898" spans="1:1" ht="15.75" customHeight="1" x14ac:dyDescent="0.2">
      <c r="A898" s="1"/>
    </row>
    <row r="899" spans="1:1" ht="15.75" customHeight="1" x14ac:dyDescent="0.2">
      <c r="A899" s="1"/>
    </row>
    <row r="900" spans="1:1" ht="15.75" customHeight="1" x14ac:dyDescent="0.2">
      <c r="A900" s="1"/>
    </row>
    <row r="901" spans="1:1" ht="15.75" customHeight="1" x14ac:dyDescent="0.2">
      <c r="A901" s="1"/>
    </row>
    <row r="902" spans="1:1" ht="15.75" customHeight="1" x14ac:dyDescent="0.2">
      <c r="A902" s="1"/>
    </row>
    <row r="903" spans="1:1" ht="15.75" customHeight="1" x14ac:dyDescent="0.2">
      <c r="A903" s="1"/>
    </row>
    <row r="904" spans="1:1" ht="15.75" customHeight="1" x14ac:dyDescent="0.2">
      <c r="A904" s="1"/>
    </row>
    <row r="905" spans="1:1" ht="15.75" customHeight="1" x14ac:dyDescent="0.2">
      <c r="A905" s="1"/>
    </row>
    <row r="906" spans="1:1" ht="15.75" customHeight="1" x14ac:dyDescent="0.2">
      <c r="A906" s="1"/>
    </row>
    <row r="907" spans="1:1" ht="15.75" customHeight="1" x14ac:dyDescent="0.2">
      <c r="A907" s="1"/>
    </row>
    <row r="908" spans="1:1" ht="15.75" customHeight="1" x14ac:dyDescent="0.2">
      <c r="A908" s="1"/>
    </row>
    <row r="909" spans="1:1" ht="15.75" customHeight="1" x14ac:dyDescent="0.2">
      <c r="A909" s="1"/>
    </row>
    <row r="910" spans="1:1" ht="15.75" customHeight="1" x14ac:dyDescent="0.2">
      <c r="A910" s="1"/>
    </row>
    <row r="911" spans="1:1" ht="15.75" customHeight="1" x14ac:dyDescent="0.2">
      <c r="A911" s="1"/>
    </row>
    <row r="912" spans="1:1" ht="15.75" customHeight="1" x14ac:dyDescent="0.2">
      <c r="A912" s="1"/>
    </row>
    <row r="913" spans="1:1" ht="15.75" customHeight="1" x14ac:dyDescent="0.2">
      <c r="A913" s="1"/>
    </row>
    <row r="914" spans="1:1" ht="15.75" customHeight="1" x14ac:dyDescent="0.2">
      <c r="A914" s="1"/>
    </row>
    <row r="915" spans="1:1" ht="15.75" customHeight="1" x14ac:dyDescent="0.2">
      <c r="A915" s="1"/>
    </row>
    <row r="916" spans="1:1" ht="15.75" customHeight="1" x14ac:dyDescent="0.2">
      <c r="A916" s="1"/>
    </row>
    <row r="917" spans="1:1" ht="15.75" customHeight="1" x14ac:dyDescent="0.2">
      <c r="A917" s="1"/>
    </row>
    <row r="918" spans="1:1" ht="15.75" customHeight="1" x14ac:dyDescent="0.2">
      <c r="A918" s="1"/>
    </row>
    <row r="919" spans="1:1" ht="15.75" customHeight="1" x14ac:dyDescent="0.2">
      <c r="A919" s="1"/>
    </row>
    <row r="920" spans="1:1" ht="15.75" customHeight="1" x14ac:dyDescent="0.2">
      <c r="A920" s="1"/>
    </row>
    <row r="921" spans="1:1" ht="15.75" customHeight="1" x14ac:dyDescent="0.2">
      <c r="A921" s="1"/>
    </row>
    <row r="922" spans="1:1" ht="15.75" customHeight="1" x14ac:dyDescent="0.2">
      <c r="A922" s="1"/>
    </row>
    <row r="923" spans="1:1" ht="15.75" customHeight="1" x14ac:dyDescent="0.2">
      <c r="A923" s="1"/>
    </row>
    <row r="924" spans="1:1" ht="15.75" customHeight="1" x14ac:dyDescent="0.2">
      <c r="A924" s="1"/>
    </row>
    <row r="925" spans="1:1" ht="15.75" customHeight="1" x14ac:dyDescent="0.2">
      <c r="A925" s="1"/>
    </row>
    <row r="926" spans="1:1" ht="15.75" customHeight="1" x14ac:dyDescent="0.2">
      <c r="A926" s="1"/>
    </row>
    <row r="927" spans="1:1" ht="15.75" customHeight="1" x14ac:dyDescent="0.2">
      <c r="A927" s="1"/>
    </row>
    <row r="928" spans="1:1" ht="15.75" customHeight="1" x14ac:dyDescent="0.2">
      <c r="A928" s="1"/>
    </row>
    <row r="929" spans="1:1" ht="15.75" customHeight="1" x14ac:dyDescent="0.2">
      <c r="A929" s="1"/>
    </row>
    <row r="930" spans="1:1" ht="15.75" customHeight="1" x14ac:dyDescent="0.2">
      <c r="A930" s="1"/>
    </row>
    <row r="931" spans="1:1" ht="15.75" customHeight="1" x14ac:dyDescent="0.2">
      <c r="A931" s="1"/>
    </row>
    <row r="932" spans="1:1" ht="15.75" customHeight="1" x14ac:dyDescent="0.2">
      <c r="A932" s="1"/>
    </row>
    <row r="933" spans="1:1" ht="15.75" customHeight="1" x14ac:dyDescent="0.2">
      <c r="A933" s="1"/>
    </row>
    <row r="934" spans="1:1" ht="15.75" customHeight="1" x14ac:dyDescent="0.2">
      <c r="A934" s="1"/>
    </row>
    <row r="935" spans="1:1" ht="15.75" customHeight="1" x14ac:dyDescent="0.2">
      <c r="A935" s="1"/>
    </row>
    <row r="936" spans="1:1" ht="15.75" customHeight="1" x14ac:dyDescent="0.2">
      <c r="A936" s="1"/>
    </row>
    <row r="937" spans="1:1" ht="15.75" customHeight="1" x14ac:dyDescent="0.2">
      <c r="A937" s="1"/>
    </row>
    <row r="938" spans="1:1" ht="15.75" customHeight="1" x14ac:dyDescent="0.2">
      <c r="A938" s="1"/>
    </row>
    <row r="939" spans="1:1" ht="15.75" customHeight="1" x14ac:dyDescent="0.2">
      <c r="A939" s="1"/>
    </row>
    <row r="940" spans="1:1" ht="15.75" customHeight="1" x14ac:dyDescent="0.2">
      <c r="A940" s="1"/>
    </row>
    <row r="941" spans="1:1" ht="15.75" customHeight="1" x14ac:dyDescent="0.2">
      <c r="A941" s="1"/>
    </row>
    <row r="942" spans="1:1" ht="15.75" customHeight="1" x14ac:dyDescent="0.2">
      <c r="A942" s="1"/>
    </row>
    <row r="943" spans="1:1" ht="15.75" customHeight="1" x14ac:dyDescent="0.2">
      <c r="A943" s="1"/>
    </row>
    <row r="944" spans="1:1" ht="15.75" customHeight="1" x14ac:dyDescent="0.2">
      <c r="A944" s="1"/>
    </row>
    <row r="945" spans="1:1" ht="15.75" customHeight="1" x14ac:dyDescent="0.2">
      <c r="A945" s="1"/>
    </row>
    <row r="946" spans="1:1" ht="15.75" customHeight="1" x14ac:dyDescent="0.2">
      <c r="A946" s="1"/>
    </row>
    <row r="947" spans="1:1" ht="15.75" customHeight="1" x14ac:dyDescent="0.2">
      <c r="A947" s="1"/>
    </row>
    <row r="948" spans="1:1" ht="15.75" customHeight="1" x14ac:dyDescent="0.2">
      <c r="A948" s="1"/>
    </row>
    <row r="949" spans="1:1" ht="15.75" customHeight="1" x14ac:dyDescent="0.2">
      <c r="A949" s="1"/>
    </row>
    <row r="950" spans="1:1" ht="15.75" customHeight="1" x14ac:dyDescent="0.2">
      <c r="A950" s="1"/>
    </row>
    <row r="951" spans="1:1" ht="15.75" customHeight="1" x14ac:dyDescent="0.2">
      <c r="A951" s="1"/>
    </row>
    <row r="952" spans="1:1" ht="15.75" customHeight="1" x14ac:dyDescent="0.2">
      <c r="A952" s="1"/>
    </row>
    <row r="953" spans="1:1" ht="15.75" customHeight="1" x14ac:dyDescent="0.2">
      <c r="A953" s="1"/>
    </row>
    <row r="954" spans="1:1" ht="15.75" customHeight="1" x14ac:dyDescent="0.2">
      <c r="A954" s="1"/>
    </row>
    <row r="955" spans="1:1" ht="15.75" customHeight="1" x14ac:dyDescent="0.2">
      <c r="A955" s="1"/>
    </row>
    <row r="956" spans="1:1" ht="15.75" customHeight="1" x14ac:dyDescent="0.2">
      <c r="A956" s="1"/>
    </row>
    <row r="957" spans="1:1" ht="15.75" customHeight="1" x14ac:dyDescent="0.2">
      <c r="A957" s="1"/>
    </row>
    <row r="958" spans="1:1" ht="15.75" customHeight="1" x14ac:dyDescent="0.2">
      <c r="A958" s="1"/>
    </row>
    <row r="959" spans="1:1" ht="15.75" customHeight="1" x14ac:dyDescent="0.2">
      <c r="A959" s="1"/>
    </row>
    <row r="960" spans="1:1" ht="15.75" customHeight="1" x14ac:dyDescent="0.2">
      <c r="A960" s="1"/>
    </row>
    <row r="961" spans="1:1" ht="15.75" customHeight="1" x14ac:dyDescent="0.2">
      <c r="A961" s="1"/>
    </row>
    <row r="962" spans="1:1" ht="15.75" customHeight="1" x14ac:dyDescent="0.2">
      <c r="A962" s="1"/>
    </row>
    <row r="963" spans="1:1" ht="15.75" customHeight="1" x14ac:dyDescent="0.2">
      <c r="A963" s="1"/>
    </row>
    <row r="964" spans="1:1" ht="15.75" customHeight="1" x14ac:dyDescent="0.2">
      <c r="A964" s="1"/>
    </row>
    <row r="965" spans="1:1" ht="15.75" customHeight="1" x14ac:dyDescent="0.2">
      <c r="A965" s="1"/>
    </row>
    <row r="966" spans="1:1" ht="15.75" customHeight="1" x14ac:dyDescent="0.2">
      <c r="A966" s="1"/>
    </row>
    <row r="967" spans="1:1" ht="15.75" customHeight="1" x14ac:dyDescent="0.2">
      <c r="A967" s="1"/>
    </row>
    <row r="968" spans="1:1" ht="15.75" customHeight="1" x14ac:dyDescent="0.2">
      <c r="A968" s="1"/>
    </row>
    <row r="969" spans="1:1" ht="15.75" customHeight="1" x14ac:dyDescent="0.2">
      <c r="A969" s="1"/>
    </row>
    <row r="970" spans="1:1" ht="15.75" customHeight="1" x14ac:dyDescent="0.2">
      <c r="A970" s="1"/>
    </row>
    <row r="971" spans="1:1" ht="15.75" customHeight="1" x14ac:dyDescent="0.2">
      <c r="A971" s="1"/>
    </row>
    <row r="972" spans="1:1" ht="15.75" customHeight="1" x14ac:dyDescent="0.2">
      <c r="A972" s="1"/>
    </row>
    <row r="973" spans="1:1" ht="15.75" customHeight="1" x14ac:dyDescent="0.2">
      <c r="A973" s="1"/>
    </row>
    <row r="974" spans="1:1" ht="15.75" customHeight="1" x14ac:dyDescent="0.2">
      <c r="A974" s="1"/>
    </row>
    <row r="975" spans="1:1" ht="15.75" customHeight="1" x14ac:dyDescent="0.2">
      <c r="A975" s="1"/>
    </row>
    <row r="976" spans="1:1" ht="15.75" customHeight="1" x14ac:dyDescent="0.2">
      <c r="A976" s="1"/>
    </row>
    <row r="977" spans="1:1" ht="15.75" customHeight="1" x14ac:dyDescent="0.2">
      <c r="A977" s="1"/>
    </row>
    <row r="978" spans="1:1" ht="15.75" customHeight="1" x14ac:dyDescent="0.2">
      <c r="A978" s="1"/>
    </row>
    <row r="979" spans="1:1" ht="15.75" customHeight="1" x14ac:dyDescent="0.2">
      <c r="A979" s="1"/>
    </row>
    <row r="980" spans="1:1" ht="15.75" customHeight="1" x14ac:dyDescent="0.2">
      <c r="A980" s="1"/>
    </row>
    <row r="981" spans="1:1" ht="15.75" customHeight="1" x14ac:dyDescent="0.2">
      <c r="A981" s="1"/>
    </row>
    <row r="982" spans="1:1" ht="15.75" customHeight="1" x14ac:dyDescent="0.2">
      <c r="A982" s="1"/>
    </row>
    <row r="983" spans="1:1" ht="15.75" customHeight="1" x14ac:dyDescent="0.2">
      <c r="A983" s="1"/>
    </row>
    <row r="984" spans="1:1" ht="15.75" customHeight="1" x14ac:dyDescent="0.2">
      <c r="A984" s="1"/>
    </row>
    <row r="985" spans="1:1" ht="15.75" customHeight="1" x14ac:dyDescent="0.2">
      <c r="A985" s="1"/>
    </row>
    <row r="986" spans="1:1" ht="15.75" customHeight="1" x14ac:dyDescent="0.2">
      <c r="A986" s="1"/>
    </row>
    <row r="987" spans="1:1" ht="15.75" customHeight="1" x14ac:dyDescent="0.2">
      <c r="A987" s="1"/>
    </row>
    <row r="988" spans="1:1" ht="15.75" customHeight="1" x14ac:dyDescent="0.2">
      <c r="A988" s="1"/>
    </row>
    <row r="989" spans="1:1" ht="15.75" customHeight="1" x14ac:dyDescent="0.2">
      <c r="A989" s="1"/>
    </row>
    <row r="990" spans="1:1" ht="15.75" customHeight="1" x14ac:dyDescent="0.2">
      <c r="A990" s="1"/>
    </row>
    <row r="991" spans="1:1" ht="15.75" customHeight="1" x14ac:dyDescent="0.2">
      <c r="A991" s="1"/>
    </row>
    <row r="992" spans="1:1" ht="15.75" customHeight="1" x14ac:dyDescent="0.2">
      <c r="A992" s="1"/>
    </row>
    <row r="993" spans="1:1" ht="15.75" customHeight="1" x14ac:dyDescent="0.2">
      <c r="A993" s="1"/>
    </row>
    <row r="994" spans="1:1" ht="15.75" customHeight="1" x14ac:dyDescent="0.2">
      <c r="A994" s="1"/>
    </row>
    <row r="995" spans="1:1" ht="15.75" customHeight="1" x14ac:dyDescent="0.2">
      <c r="A995" s="1"/>
    </row>
    <row r="996" spans="1:1" ht="15.75" customHeight="1" x14ac:dyDescent="0.2">
      <c r="A996" s="1"/>
    </row>
    <row r="997" spans="1:1" ht="15.75" customHeight="1" x14ac:dyDescent="0.2">
      <c r="A997" s="1"/>
    </row>
    <row r="998" spans="1:1" ht="15.75" customHeight="1" x14ac:dyDescent="0.2">
      <c r="A998" s="1"/>
    </row>
    <row r="999" spans="1:1" ht="15.75" customHeight="1" x14ac:dyDescent="0.2">
      <c r="A999" s="1"/>
    </row>
    <row r="1000" spans="1:1" ht="15.75" customHeight="1" x14ac:dyDescent="0.2">
      <c r="A1000" s="1"/>
    </row>
    <row r="1001" spans="1:1" ht="15.75" customHeight="1" x14ac:dyDescent="0.2">
      <c r="A1001" s="1"/>
    </row>
  </sheetData>
  <mergeCells count="10">
    <mergeCell ref="B18:G18"/>
    <mergeCell ref="B19:G19"/>
    <mergeCell ref="F22:G22"/>
    <mergeCell ref="C3:F3"/>
    <mergeCell ref="C6:D6"/>
    <mergeCell ref="C8:D12"/>
    <mergeCell ref="C14:D14"/>
    <mergeCell ref="B15:G15"/>
    <mergeCell ref="B16:G16"/>
    <mergeCell ref="B17:G17"/>
  </mergeCells>
  <hyperlinks>
    <hyperlink ref="C6" location="'Primer Conteo'!A1" display="PRIMER CONTEO" xr:uid="{00000000-0004-0000-0000-000000000000}"/>
    <hyperlink ref="F6" location="'A1'!A1" display="CONTEO A1" xr:uid="{00000000-0004-0000-0000-000001000000}"/>
    <hyperlink ref="F8" location="'A2'!A1" display="CONTEO A2" xr:uid="{00000000-0004-0000-0000-000002000000}"/>
    <hyperlink ref="F10" location="'A3'!A1" display="CONTEO A3" xr:uid="{00000000-0004-0000-0000-000003000000}"/>
    <hyperlink ref="F12" location="'A4'!A1" display="CONTEO A4" xr:uid="{00000000-0004-0000-0000-000004000000}"/>
    <hyperlink ref="C14" location="'Inf. Final'!A1" display="INFORME FINAL" xr:uid="{00000000-0004-0000-0000-000005000000}"/>
    <hyperlink ref="F14" location="Sobres!A1" display="CONTEO SOBRES" xr:uid="{00000000-0004-0000-0000-000006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B1003"/>
  <sheetViews>
    <sheetView showGridLines="0" topLeftCell="A13" workbookViewId="0">
      <selection activeCell="F31" sqref="F31"/>
    </sheetView>
  </sheetViews>
  <sheetFormatPr baseColWidth="10" defaultColWidth="14.42578125" defaultRowHeight="15" customHeight="1" x14ac:dyDescent="0.2"/>
  <cols>
    <col min="1" max="1" width="4" customWidth="1"/>
    <col min="2" max="2" width="17" customWidth="1"/>
    <col min="3" max="3" width="10.7109375" customWidth="1"/>
    <col min="4" max="4" width="2.5703125" customWidth="1"/>
    <col min="5" max="27" width="10.7109375" customWidth="1"/>
  </cols>
  <sheetData>
    <row r="1" spans="1:28" ht="12.7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24" customHeight="1" x14ac:dyDescent="0.35">
      <c r="A2" s="7"/>
      <c r="B2" s="118" t="s">
        <v>9</v>
      </c>
      <c r="C2" s="110"/>
      <c r="D2" s="7"/>
      <c r="E2" s="119" t="s">
        <v>10</v>
      </c>
      <c r="F2" s="120"/>
      <c r="G2" s="120"/>
      <c r="H2" s="12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8.75" customHeight="1" x14ac:dyDescent="0.35">
      <c r="A3" s="7"/>
      <c r="B3" s="21" t="s">
        <v>11</v>
      </c>
      <c r="C3" s="22" t="s">
        <v>12</v>
      </c>
      <c r="D3" s="7"/>
      <c r="E3" s="122"/>
      <c r="F3" s="123"/>
      <c r="G3" s="123"/>
      <c r="H3" s="12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8.75" customHeight="1" x14ac:dyDescent="0.35">
      <c r="A4" s="7"/>
      <c r="B4" s="23" t="s">
        <v>13</v>
      </c>
      <c r="C4" s="23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8.75" customHeight="1" x14ac:dyDescent="0.35">
      <c r="A5" s="7"/>
      <c r="B5" s="23" t="s">
        <v>14</v>
      </c>
      <c r="C5" s="23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7.5" customHeight="1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7.5" customHeight="1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8.75" customHeight="1" x14ac:dyDescent="0.35">
      <c r="A8" s="7"/>
      <c r="B8" s="21" t="s">
        <v>11</v>
      </c>
      <c r="C8" s="22" t="s">
        <v>15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8.75" customHeight="1" x14ac:dyDescent="0.35">
      <c r="A9" s="7"/>
      <c r="B9" s="23" t="s">
        <v>13</v>
      </c>
      <c r="C9" s="23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8.75" customHeight="1" x14ac:dyDescent="0.35">
      <c r="A10" s="7"/>
      <c r="B10" s="23" t="s">
        <v>14</v>
      </c>
      <c r="C10" s="24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7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7.5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8.75" customHeight="1" x14ac:dyDescent="0.35">
      <c r="A13" s="7"/>
      <c r="B13" s="21" t="s">
        <v>16</v>
      </c>
      <c r="C13" s="22" t="s">
        <v>17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8.75" customHeight="1" x14ac:dyDescent="0.35">
      <c r="A14" s="7"/>
      <c r="B14" s="23" t="s">
        <v>13</v>
      </c>
      <c r="C14" s="23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8.75" customHeight="1" x14ac:dyDescent="0.35">
      <c r="A15" s="7"/>
      <c r="B15" s="23" t="s">
        <v>14</v>
      </c>
      <c r="C15" s="23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7.5" customHeight="1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7.5" customHeight="1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8.75" customHeight="1" x14ac:dyDescent="0.35">
      <c r="A18" s="7"/>
      <c r="B18" s="21" t="s">
        <v>11</v>
      </c>
      <c r="C18" s="22" t="s">
        <v>18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8.75" customHeight="1" x14ac:dyDescent="0.35">
      <c r="A19" s="7"/>
      <c r="B19" s="23" t="s">
        <v>13</v>
      </c>
      <c r="C19" s="23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8.75" customHeight="1" x14ac:dyDescent="0.35">
      <c r="A20" s="7"/>
      <c r="B20" s="23" t="s">
        <v>14</v>
      </c>
      <c r="C20" s="23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26.2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2.75" customHeight="1" x14ac:dyDescent="0.2">
      <c r="A22" s="7"/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2.75" customHeight="1" x14ac:dyDescent="0.2">
      <c r="A23" s="7"/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2.75" customHeight="1" x14ac:dyDescent="0.2">
      <c r="A24" s="7"/>
      <c r="B24" s="8" t="s">
        <v>19</v>
      </c>
      <c r="C24" s="8" t="str">
        <f ca="1">UPPER(TEXT(B25,"dddd"))</f>
        <v>MIÉRCOLES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2.75" customHeight="1" x14ac:dyDescent="0.2">
      <c r="A25" s="7"/>
      <c r="B25" s="25">
        <f ca="1">TODAY()</f>
        <v>46064</v>
      </c>
      <c r="C25" s="8" t="str">
        <f>'Inf. Final'!C7</f>
        <v>08:00 AM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2.75" customHeight="1" x14ac:dyDescent="0.2">
      <c r="A26" s="7"/>
      <c r="B26" s="8" t="s">
        <v>9</v>
      </c>
      <c r="C26" s="8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2.75" customHeight="1" x14ac:dyDescent="0.2">
      <c r="A27" s="7"/>
      <c r="B27" s="8" t="s">
        <v>20</v>
      </c>
      <c r="C27" s="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2.75" customHeight="1" x14ac:dyDescent="0.2">
      <c r="A28" s="7"/>
      <c r="B28" s="8" t="s">
        <v>21</v>
      </c>
      <c r="C28" s="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2.75" customHeight="1" x14ac:dyDescent="0.2">
      <c r="A29" s="7"/>
      <c r="B29" s="8" t="s">
        <v>22</v>
      </c>
      <c r="C29" s="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2.75" customHeight="1" x14ac:dyDescent="0.2">
      <c r="A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2.75" customHeight="1" x14ac:dyDescent="0.2">
      <c r="A33" s="7"/>
      <c r="B33" s="125" t="s">
        <v>23</v>
      </c>
      <c r="C33" s="106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2.75" customHeight="1" x14ac:dyDescent="0.2">
      <c r="A34" s="7"/>
      <c r="B34" s="8" t="s">
        <v>20</v>
      </c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2.75" customHeight="1" x14ac:dyDescent="0.2">
      <c r="A35" s="7"/>
      <c r="B35" s="8" t="s">
        <v>21</v>
      </c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2.75" customHeight="1" x14ac:dyDescent="0.2">
      <c r="A36" s="7"/>
      <c r="B36" s="8" t="s">
        <v>22</v>
      </c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2.75" customHeight="1" x14ac:dyDescent="0.2">
      <c r="A39" s="7"/>
      <c r="B39" s="8" t="str">
        <f t="shared" ref="B39:C39" si="0">B24</f>
        <v xml:space="preserve">Servicio </v>
      </c>
      <c r="C39" s="8" t="str">
        <f t="shared" ca="1" si="0"/>
        <v>MIÉRCOLES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2.75" customHeight="1" x14ac:dyDescent="0.2">
      <c r="A40" s="7"/>
      <c r="B40" s="25">
        <f ca="1">TODAY()</f>
        <v>46064</v>
      </c>
      <c r="C40" s="8" t="str">
        <f>C25</f>
        <v>08:00 AM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2.75" customHeight="1" x14ac:dyDescent="0.2">
      <c r="A41" s="7"/>
      <c r="B41" s="8" t="s">
        <v>24</v>
      </c>
      <c r="C41" s="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2.75" customHeight="1" x14ac:dyDescent="0.2">
      <c r="A42" s="7"/>
      <c r="B42" s="8" t="s">
        <v>20</v>
      </c>
      <c r="C42" s="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2.75" customHeight="1" x14ac:dyDescent="0.2">
      <c r="A43" s="7"/>
      <c r="B43" s="8" t="s">
        <v>21</v>
      </c>
      <c r="C43" s="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2.75" customHeight="1" x14ac:dyDescent="0.2">
      <c r="A44" s="7"/>
      <c r="B44" s="8" t="s">
        <v>22</v>
      </c>
      <c r="C44" s="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2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2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2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2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2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2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2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2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2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2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2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2"/>
    <row r="246" spans="1:28" ht="15.75" customHeight="1" x14ac:dyDescent="0.2"/>
    <row r="247" spans="1:28" ht="15.75" customHeight="1" x14ac:dyDescent="0.2"/>
    <row r="248" spans="1:28" ht="15.75" customHeight="1" x14ac:dyDescent="0.2"/>
    <row r="249" spans="1:28" ht="15.75" customHeight="1" x14ac:dyDescent="0.2"/>
    <row r="250" spans="1:28" ht="15.75" customHeight="1" x14ac:dyDescent="0.2"/>
    <row r="251" spans="1:28" ht="15.75" customHeight="1" x14ac:dyDescent="0.2"/>
    <row r="252" spans="1:28" ht="15.75" customHeight="1" x14ac:dyDescent="0.2"/>
    <row r="253" spans="1:28" ht="15.75" customHeight="1" x14ac:dyDescent="0.2"/>
    <row r="254" spans="1:28" ht="15.75" customHeight="1" x14ac:dyDescent="0.2"/>
    <row r="255" spans="1:28" ht="15.75" customHeight="1" x14ac:dyDescent="0.2"/>
    <row r="256" spans="1:28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3">
    <mergeCell ref="B2:C2"/>
    <mergeCell ref="E2:H3"/>
    <mergeCell ref="B33:C33"/>
  </mergeCells>
  <hyperlinks>
    <hyperlink ref="E2" location="Menu!A1" display="VOLVER AL MENÚ" xr:uid="{00000000-0004-0000-0100-000000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8F84B"/>
    <pageSetUpPr fitToPage="1"/>
  </sheetPr>
  <dimension ref="A1:Z1001"/>
  <sheetViews>
    <sheetView showGridLines="0" workbookViewId="0">
      <pane ySplit="1" topLeftCell="A4" activePane="bottomLeft" state="frozen"/>
      <selection pane="bottomLeft" activeCell="D7" sqref="D7"/>
    </sheetView>
  </sheetViews>
  <sheetFormatPr baseColWidth="10" defaultColWidth="14.42578125" defaultRowHeight="15" customHeight="1" x14ac:dyDescent="0.2"/>
  <cols>
    <col min="1" max="1" width="1.5703125" customWidth="1"/>
    <col min="2" max="2" width="3" customWidth="1"/>
    <col min="3" max="3" width="35.5703125" customWidth="1"/>
    <col min="4" max="4" width="11.5703125" customWidth="1"/>
    <col min="5" max="6" width="3" customWidth="1"/>
    <col min="7" max="24" width="10.7109375" customWidth="1"/>
  </cols>
  <sheetData>
    <row r="1" spans="1:26" ht="12.75" customHeight="1" x14ac:dyDescent="0.2">
      <c r="A1" s="7"/>
      <c r="B1" s="7"/>
      <c r="C1" s="7"/>
      <c r="D1" s="2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" customHeight="1" x14ac:dyDescent="0.2">
      <c r="A2" s="27"/>
      <c r="B2" s="28"/>
      <c r="C2" s="29" t="s">
        <v>25</v>
      </c>
      <c r="D2" s="30"/>
      <c r="E2" s="31"/>
      <c r="F2" s="27"/>
      <c r="G2" s="126"/>
      <c r="H2" s="106"/>
      <c r="I2" s="10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6.5" customHeight="1" x14ac:dyDescent="0.3">
      <c r="A3" s="7"/>
      <c r="B3" s="32"/>
      <c r="C3" s="33" t="s">
        <v>26</v>
      </c>
      <c r="D3" s="34">
        <f ca="1">TODAY()</f>
        <v>46064</v>
      </c>
      <c r="E3" s="35"/>
      <c r="F3" s="7"/>
      <c r="G3" s="106"/>
      <c r="H3" s="106"/>
      <c r="I3" s="10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customHeight="1" x14ac:dyDescent="0.2">
      <c r="A4" s="7"/>
      <c r="B4" s="32"/>
      <c r="C4" s="7"/>
      <c r="D4" s="26"/>
      <c r="E4" s="3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.5" customHeight="1" x14ac:dyDescent="0.2">
      <c r="A5" s="7"/>
      <c r="B5" s="36"/>
      <c r="C5" s="37"/>
      <c r="D5" s="30"/>
      <c r="E5" s="3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2">
      <c r="A6" s="7"/>
      <c r="B6" s="32"/>
      <c r="C6" s="7" t="s">
        <v>27</v>
      </c>
      <c r="D6" s="39"/>
      <c r="E6" s="3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2">
      <c r="A7" s="7"/>
      <c r="B7" s="32"/>
      <c r="C7" s="7" t="s">
        <v>28</v>
      </c>
      <c r="D7" s="40"/>
      <c r="E7" s="3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2">
      <c r="A8" s="7"/>
      <c r="B8" s="32"/>
      <c r="C8" s="7" t="s">
        <v>29</v>
      </c>
      <c r="D8" s="41"/>
      <c r="E8" s="3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2">
      <c r="A9" s="7"/>
      <c r="B9" s="32"/>
      <c r="C9" s="7" t="s">
        <v>30</v>
      </c>
      <c r="D9" s="39"/>
      <c r="E9" s="3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2">
      <c r="A10" s="7"/>
      <c r="B10" s="42"/>
      <c r="C10" s="43"/>
      <c r="D10" s="44"/>
      <c r="E10" s="4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2">
      <c r="A11" s="7"/>
      <c r="B11" s="32"/>
      <c r="C11" s="7"/>
      <c r="D11" s="26"/>
      <c r="E11" s="3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2">
      <c r="A12" s="7"/>
      <c r="B12" s="32"/>
      <c r="C12" s="7" t="s">
        <v>31</v>
      </c>
      <c r="D12" s="39"/>
      <c r="E12" s="3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2">
      <c r="A13" s="7"/>
      <c r="B13" s="32"/>
      <c r="C13" s="7" t="s">
        <v>32</v>
      </c>
      <c r="D13" s="46"/>
      <c r="E13" s="3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">
      <c r="A14" s="7"/>
      <c r="B14" s="32"/>
      <c r="C14" s="7" t="s">
        <v>33</v>
      </c>
      <c r="D14" s="39"/>
      <c r="E14" s="3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2">
      <c r="A15" s="7"/>
      <c r="B15" s="32"/>
      <c r="C15" s="7" t="s">
        <v>34</v>
      </c>
      <c r="D15" s="39"/>
      <c r="E15" s="35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2">
      <c r="A16" s="7"/>
      <c r="B16" s="42"/>
      <c r="C16" s="43"/>
      <c r="D16" s="44"/>
      <c r="E16" s="45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2">
      <c r="A17" s="7"/>
      <c r="B17" s="32"/>
      <c r="C17" s="7"/>
      <c r="D17" s="26"/>
      <c r="E17" s="3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5.5" customHeight="1" x14ac:dyDescent="0.2">
      <c r="A18" s="7"/>
      <c r="B18" s="32"/>
      <c r="C18" s="7" t="s">
        <v>35</v>
      </c>
      <c r="D18" s="47"/>
      <c r="E18" s="3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5.5" customHeight="1" x14ac:dyDescent="0.2">
      <c r="A19" s="7"/>
      <c r="B19" s="32"/>
      <c r="C19" s="48"/>
      <c r="D19" s="49"/>
      <c r="E19" s="3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5.5" customHeight="1" x14ac:dyDescent="0.2">
      <c r="A20" s="7"/>
      <c r="B20" s="42"/>
      <c r="C20" s="43"/>
      <c r="D20" s="44"/>
      <c r="E20" s="4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6.5" customHeight="1" x14ac:dyDescent="0.2">
      <c r="A21" s="7"/>
      <c r="B21" s="7"/>
      <c r="C21" s="7"/>
      <c r="D21" s="2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9" customHeight="1" x14ac:dyDescent="0.2">
      <c r="A22" s="7"/>
      <c r="B22" s="119" t="s">
        <v>10</v>
      </c>
      <c r="C22" s="120"/>
      <c r="D22" s="121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9" customHeight="1" x14ac:dyDescent="0.2">
      <c r="A23" s="7"/>
      <c r="B23" s="127"/>
      <c r="C23" s="106"/>
      <c r="D23" s="128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9.5" customHeight="1" x14ac:dyDescent="0.2">
      <c r="A24" s="7"/>
      <c r="B24" s="127"/>
      <c r="C24" s="106"/>
      <c r="D24" s="128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9.5" customHeight="1" x14ac:dyDescent="0.2">
      <c r="A25" s="7"/>
      <c r="B25" s="122"/>
      <c r="C25" s="123"/>
      <c r="D25" s="12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42.75" customHeight="1" x14ac:dyDescent="0.2">
      <c r="A26" s="7"/>
      <c r="B26" s="7"/>
      <c r="C26" s="7"/>
      <c r="D26" s="2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7.25" customHeight="1" x14ac:dyDescent="0.2">
      <c r="A27" s="7"/>
      <c r="B27" s="7"/>
      <c r="C27" s="7"/>
      <c r="D27" s="2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7.25" customHeight="1" x14ac:dyDescent="0.2">
      <c r="A28" s="7"/>
      <c r="B28" s="7"/>
      <c r="C28" s="7"/>
      <c r="D28" s="2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7.25" customHeight="1" x14ac:dyDescent="0.2">
      <c r="A29" s="7"/>
      <c r="B29" s="7"/>
      <c r="C29" s="7"/>
      <c r="D29" s="2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7.25" customHeight="1" x14ac:dyDescent="0.2">
      <c r="A30" s="7"/>
      <c r="B30" s="7"/>
      <c r="C30" s="7"/>
      <c r="D30" s="2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7.25" customHeight="1" x14ac:dyDescent="0.2">
      <c r="A31" s="7"/>
      <c r="B31" s="7"/>
      <c r="C31" s="7"/>
      <c r="D31" s="2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7.25" customHeight="1" x14ac:dyDescent="0.2">
      <c r="A32" s="7"/>
      <c r="B32" s="7"/>
      <c r="C32" s="7"/>
      <c r="D32" s="2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7.25" customHeight="1" x14ac:dyDescent="0.2">
      <c r="A33" s="7"/>
      <c r="B33" s="7"/>
      <c r="C33" s="7"/>
      <c r="D33" s="2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7"/>
      <c r="C34" s="7"/>
      <c r="D34" s="2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7"/>
      <c r="C35" s="7"/>
      <c r="D35" s="2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7"/>
      <c r="C36" s="7"/>
      <c r="D36" s="2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7"/>
      <c r="C37" s="7"/>
      <c r="D37" s="2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7"/>
      <c r="B38" s="7"/>
      <c r="C38" s="7"/>
      <c r="D38" s="2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7"/>
      <c r="C39" s="7"/>
      <c r="D39" s="2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7"/>
      <c r="C40" s="7"/>
      <c r="D40" s="2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7"/>
      <c r="C41" s="7"/>
      <c r="D41" s="2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7"/>
      <c r="C42" s="7"/>
      <c r="D42" s="2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7"/>
      <c r="C43" s="7"/>
      <c r="D43" s="2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7"/>
      <c r="C44" s="7"/>
      <c r="D44" s="2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7"/>
      <c r="C45" s="7"/>
      <c r="D45" s="2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7"/>
      <c r="C46" s="7"/>
      <c r="D46" s="2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7"/>
      <c r="C47" s="7"/>
      <c r="D47" s="2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7"/>
      <c r="C48" s="7"/>
      <c r="D48" s="2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7"/>
      <c r="C49" s="7"/>
      <c r="D49" s="2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7"/>
      <c r="C50" s="7"/>
      <c r="D50" s="2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7"/>
      <c r="C51" s="7"/>
      <c r="D51" s="2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7"/>
      <c r="C52" s="7"/>
      <c r="D52" s="2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7"/>
      <c r="C53" s="7"/>
      <c r="D53" s="2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7"/>
      <c r="C54" s="7"/>
      <c r="D54" s="2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7"/>
      <c r="C55" s="7"/>
      <c r="D55" s="2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7"/>
      <c r="C56" s="7"/>
      <c r="D56" s="2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7"/>
      <c r="C57" s="7"/>
      <c r="D57" s="2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7"/>
      <c r="C58" s="7"/>
      <c r="D58" s="2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7"/>
      <c r="C59" s="7"/>
      <c r="D59" s="2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7"/>
      <c r="C60" s="7"/>
      <c r="D60" s="2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7"/>
      <c r="C61" s="7"/>
      <c r="D61" s="2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7"/>
      <c r="C62" s="7"/>
      <c r="D62" s="2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7"/>
      <c r="C63" s="7"/>
      <c r="D63" s="2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7"/>
      <c r="C64" s="7"/>
      <c r="D64" s="2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7"/>
      <c r="C65" s="7"/>
      <c r="D65" s="2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7"/>
      <c r="C66" s="7"/>
      <c r="D66" s="2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7"/>
      <c r="C67" s="7"/>
      <c r="D67" s="2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7"/>
      <c r="C68" s="7"/>
      <c r="D68" s="2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7"/>
      <c r="C69" s="7"/>
      <c r="D69" s="2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7"/>
      <c r="C70" s="7"/>
      <c r="D70" s="2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7"/>
      <c r="C71" s="7"/>
      <c r="D71" s="2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7"/>
      <c r="C72" s="7"/>
      <c r="D72" s="2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7"/>
      <c r="C73" s="7"/>
      <c r="D73" s="2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7"/>
      <c r="C74" s="7"/>
      <c r="D74" s="2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7"/>
      <c r="C75" s="7"/>
      <c r="D75" s="2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7"/>
      <c r="C76" s="7"/>
      <c r="D76" s="2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7"/>
      <c r="C77" s="7"/>
      <c r="D77" s="2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7"/>
      <c r="C78" s="7"/>
      <c r="D78" s="2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7"/>
      <c r="C79" s="7"/>
      <c r="D79" s="2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7"/>
      <c r="C80" s="7"/>
      <c r="D80" s="2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7"/>
      <c r="C81" s="7"/>
      <c r="D81" s="2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7"/>
      <c r="C82" s="7"/>
      <c r="D82" s="2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7"/>
      <c r="C83" s="7"/>
      <c r="D83" s="2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7"/>
      <c r="C84" s="7"/>
      <c r="D84" s="2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7"/>
      <c r="C85" s="7"/>
      <c r="D85" s="2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7"/>
      <c r="C86" s="7"/>
      <c r="D86" s="2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7"/>
      <c r="C87" s="7"/>
      <c r="D87" s="2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7"/>
      <c r="C88" s="7"/>
      <c r="D88" s="2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7"/>
      <c r="C89" s="7"/>
      <c r="D89" s="2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7"/>
      <c r="C90" s="7"/>
      <c r="D90" s="2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7"/>
      <c r="C91" s="7"/>
      <c r="D91" s="2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7"/>
      <c r="C92" s="7"/>
      <c r="D92" s="2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7"/>
      <c r="C93" s="7"/>
      <c r="D93" s="2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7"/>
      <c r="C94" s="7"/>
      <c r="D94" s="2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7"/>
      <c r="C95" s="7"/>
      <c r="D95" s="2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7"/>
      <c r="C96" s="7"/>
      <c r="D96" s="2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7"/>
      <c r="C97" s="7"/>
      <c r="D97" s="2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7"/>
      <c r="C98" s="7"/>
      <c r="D98" s="2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7"/>
      <c r="C99" s="7"/>
      <c r="D99" s="2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7"/>
      <c r="C100" s="7"/>
      <c r="D100" s="2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7"/>
      <c r="C101" s="7"/>
      <c r="D101" s="2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7"/>
      <c r="C102" s="7"/>
      <c r="D102" s="2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7"/>
      <c r="C103" s="7"/>
      <c r="D103" s="2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7"/>
      <c r="C104" s="7"/>
      <c r="D104" s="2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7"/>
      <c r="C105" s="7"/>
      <c r="D105" s="2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7"/>
      <c r="C106" s="7"/>
      <c r="D106" s="2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7"/>
      <c r="C107" s="7"/>
      <c r="D107" s="2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7"/>
      <c r="C108" s="7"/>
      <c r="D108" s="2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7"/>
      <c r="C109" s="7"/>
      <c r="D109" s="2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7"/>
      <c r="C110" s="7"/>
      <c r="D110" s="2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7"/>
      <c r="C111" s="7"/>
      <c r="D111" s="2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7"/>
      <c r="C112" s="7"/>
      <c r="D112" s="2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7"/>
      <c r="C113" s="7"/>
      <c r="D113" s="2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7"/>
      <c r="C114" s="7"/>
      <c r="D114" s="2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7"/>
      <c r="C115" s="7"/>
      <c r="D115" s="2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7"/>
      <c r="C116" s="7"/>
      <c r="D116" s="2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7"/>
      <c r="C117" s="7"/>
      <c r="D117" s="2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7"/>
      <c r="C118" s="7"/>
      <c r="D118" s="2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7"/>
      <c r="C119" s="7"/>
      <c r="D119" s="2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7"/>
      <c r="C120" s="7"/>
      <c r="D120" s="2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7"/>
      <c r="C121" s="7"/>
      <c r="D121" s="2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7"/>
      <c r="C122" s="7"/>
      <c r="D122" s="2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7"/>
      <c r="C123" s="7"/>
      <c r="D123" s="2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7"/>
      <c r="C124" s="7"/>
      <c r="D124" s="2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7"/>
      <c r="C125" s="7"/>
      <c r="D125" s="2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7"/>
      <c r="C126" s="7"/>
      <c r="D126" s="2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7"/>
      <c r="C127" s="7"/>
      <c r="D127" s="2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7"/>
      <c r="C128" s="7"/>
      <c r="D128" s="2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7"/>
      <c r="C129" s="7"/>
      <c r="D129" s="2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7"/>
      <c r="C130" s="7"/>
      <c r="D130" s="2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7"/>
      <c r="C131" s="7"/>
      <c r="D131" s="2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7"/>
      <c r="C132" s="7"/>
      <c r="D132" s="2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7"/>
      <c r="C133" s="7"/>
      <c r="D133" s="2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7"/>
      <c r="C134" s="7"/>
      <c r="D134" s="2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7"/>
      <c r="C135" s="7"/>
      <c r="D135" s="2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7"/>
      <c r="C136" s="7"/>
      <c r="D136" s="2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7"/>
      <c r="C137" s="7"/>
      <c r="D137" s="2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7"/>
      <c r="C138" s="7"/>
      <c r="D138" s="2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7"/>
      <c r="C139" s="7"/>
      <c r="D139" s="2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7"/>
      <c r="C140" s="7"/>
      <c r="D140" s="2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7"/>
      <c r="C141" s="7"/>
      <c r="D141" s="2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7"/>
      <c r="C142" s="7"/>
      <c r="D142" s="2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7"/>
      <c r="C143" s="7"/>
      <c r="D143" s="2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7"/>
      <c r="C144" s="7"/>
      <c r="D144" s="2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7"/>
      <c r="C145" s="7"/>
      <c r="D145" s="2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7"/>
      <c r="C146" s="7"/>
      <c r="D146" s="2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7"/>
      <c r="C147" s="7"/>
      <c r="D147" s="2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7"/>
      <c r="C148" s="7"/>
      <c r="D148" s="2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7"/>
      <c r="C149" s="7"/>
      <c r="D149" s="2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7"/>
      <c r="C150" s="7"/>
      <c r="D150" s="2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7"/>
      <c r="C151" s="7"/>
      <c r="D151" s="2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7"/>
      <c r="C152" s="7"/>
      <c r="D152" s="2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7"/>
      <c r="C153" s="7"/>
      <c r="D153" s="2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7"/>
      <c r="C154" s="7"/>
      <c r="D154" s="2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7"/>
      <c r="C155" s="7"/>
      <c r="D155" s="2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7"/>
      <c r="C156" s="7"/>
      <c r="D156" s="2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7"/>
      <c r="C157" s="7"/>
      <c r="D157" s="2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7"/>
      <c r="C158" s="7"/>
      <c r="D158" s="2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7"/>
      <c r="C159" s="7"/>
      <c r="D159" s="2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7"/>
      <c r="C160" s="7"/>
      <c r="D160" s="2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7"/>
      <c r="C161" s="7"/>
      <c r="D161" s="2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7"/>
      <c r="C162" s="7"/>
      <c r="D162" s="2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7"/>
      <c r="C163" s="7"/>
      <c r="D163" s="2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7"/>
      <c r="C164" s="7"/>
      <c r="D164" s="2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7"/>
      <c r="C165" s="7"/>
      <c r="D165" s="2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7"/>
      <c r="C166" s="7"/>
      <c r="D166" s="2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7"/>
      <c r="C167" s="7"/>
      <c r="D167" s="2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7"/>
      <c r="C168" s="7"/>
      <c r="D168" s="2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7"/>
      <c r="C169" s="7"/>
      <c r="D169" s="2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7"/>
      <c r="C170" s="7"/>
      <c r="D170" s="2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7"/>
      <c r="C171" s="7"/>
      <c r="D171" s="2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7"/>
      <c r="C172" s="7"/>
      <c r="D172" s="2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7"/>
      <c r="C173" s="7"/>
      <c r="D173" s="2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7"/>
      <c r="C174" s="7"/>
      <c r="D174" s="2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7"/>
      <c r="C175" s="7"/>
      <c r="D175" s="2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7"/>
      <c r="C176" s="7"/>
      <c r="D176" s="2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7"/>
      <c r="C177" s="7"/>
      <c r="D177" s="2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7"/>
      <c r="C178" s="7"/>
      <c r="D178" s="2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7"/>
      <c r="C179" s="7"/>
      <c r="D179" s="2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7"/>
      <c r="C180" s="7"/>
      <c r="D180" s="2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7"/>
      <c r="C181" s="7"/>
      <c r="D181" s="2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7"/>
      <c r="C182" s="7"/>
      <c r="D182" s="2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7"/>
      <c r="C183" s="7"/>
      <c r="D183" s="2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7"/>
      <c r="C184" s="7"/>
      <c r="D184" s="2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7"/>
      <c r="C185" s="7"/>
      <c r="D185" s="2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7"/>
      <c r="C186" s="7"/>
      <c r="D186" s="2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7"/>
      <c r="C187" s="7"/>
      <c r="D187" s="2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7"/>
      <c r="C188" s="7"/>
      <c r="D188" s="2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7"/>
      <c r="C189" s="7"/>
      <c r="D189" s="2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7"/>
      <c r="C190" s="7"/>
      <c r="D190" s="2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7"/>
      <c r="C191" s="7"/>
      <c r="D191" s="2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7"/>
      <c r="C192" s="7"/>
      <c r="D192" s="2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7"/>
      <c r="C193" s="7"/>
      <c r="D193" s="2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7"/>
      <c r="C194" s="7"/>
      <c r="D194" s="2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7"/>
      <c r="C195" s="7"/>
      <c r="D195" s="2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7"/>
      <c r="C196" s="7"/>
      <c r="D196" s="2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7"/>
      <c r="C197" s="7"/>
      <c r="D197" s="2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7"/>
      <c r="C198" s="7"/>
      <c r="D198" s="2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7"/>
      <c r="C199" s="7"/>
      <c r="D199" s="2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7"/>
      <c r="C200" s="7"/>
      <c r="D200" s="2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7"/>
      <c r="C201" s="7"/>
      <c r="D201" s="2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7"/>
      <c r="C202" s="7"/>
      <c r="D202" s="2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7"/>
      <c r="C203" s="7"/>
      <c r="D203" s="2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7"/>
      <c r="C204" s="7"/>
      <c r="D204" s="2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7"/>
      <c r="C205" s="7"/>
      <c r="D205" s="2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7"/>
      <c r="C206" s="7"/>
      <c r="D206" s="2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7"/>
      <c r="C207" s="7"/>
      <c r="D207" s="2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7"/>
      <c r="C208" s="7"/>
      <c r="D208" s="2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7"/>
      <c r="C209" s="7"/>
      <c r="D209" s="2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7"/>
      <c r="C210" s="7"/>
      <c r="D210" s="2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7"/>
      <c r="C211" s="7"/>
      <c r="D211" s="2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7"/>
      <c r="C212" s="7"/>
      <c r="D212" s="2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7"/>
      <c r="C213" s="7"/>
      <c r="D213" s="2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7"/>
      <c r="C214" s="7"/>
      <c r="D214" s="2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7"/>
      <c r="C215" s="7"/>
      <c r="D215" s="2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7"/>
      <c r="C216" s="7"/>
      <c r="D216" s="2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7"/>
      <c r="C217" s="7"/>
      <c r="D217" s="2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7"/>
      <c r="C218" s="7"/>
      <c r="D218" s="2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7"/>
      <c r="C219" s="7"/>
      <c r="D219" s="2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7"/>
      <c r="C220" s="7"/>
      <c r="D220" s="2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7"/>
      <c r="B221" s="7"/>
      <c r="C221" s="7"/>
      <c r="D221" s="2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7"/>
      <c r="B222" s="7"/>
      <c r="C222" s="7"/>
      <c r="D222" s="2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7"/>
      <c r="B223" s="7"/>
      <c r="C223" s="7"/>
      <c r="D223" s="2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2">
    <mergeCell ref="G2:I3"/>
    <mergeCell ref="B22:D25"/>
  </mergeCells>
  <hyperlinks>
    <hyperlink ref="B22" location="Menu!A1" display="VOLVER AL MENÚ" xr:uid="{00000000-0004-0000-0300-000000000000}"/>
  </hyperlinks>
  <pageMargins left="0.9055118110236221" right="0.31496062992125984" top="0.74803149606299213" bottom="0.74803149606299213" header="0" footer="0"/>
  <pageSetup paperSize="9" fitToHeight="0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8F84B"/>
    <pageSetUpPr fitToPage="1"/>
  </sheetPr>
  <dimension ref="A1:Z1000"/>
  <sheetViews>
    <sheetView showGridLines="0" workbookViewId="0">
      <selection activeCell="D3" sqref="D3"/>
    </sheetView>
  </sheetViews>
  <sheetFormatPr baseColWidth="10" defaultColWidth="14.42578125" defaultRowHeight="15" customHeight="1" x14ac:dyDescent="0.2"/>
  <cols>
    <col min="1" max="1" width="1.5703125" customWidth="1"/>
    <col min="2" max="2" width="3" customWidth="1"/>
    <col min="3" max="3" width="29.28515625" customWidth="1"/>
    <col min="4" max="4" width="17.5703125" customWidth="1"/>
    <col min="5" max="5" width="3" customWidth="1"/>
    <col min="6" max="6" width="2.28515625" customWidth="1"/>
    <col min="7" max="24" width="10.7109375" customWidth="1"/>
  </cols>
  <sheetData>
    <row r="1" spans="1:26" ht="12.75" customHeight="1" x14ac:dyDescent="0.2">
      <c r="A1" s="7"/>
      <c r="B1" s="7"/>
      <c r="C1" s="7"/>
      <c r="D1" s="2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" customHeight="1" x14ac:dyDescent="0.2">
      <c r="A2" s="27"/>
      <c r="B2" s="28"/>
      <c r="C2" s="29" t="s">
        <v>25</v>
      </c>
      <c r="D2" s="30"/>
      <c r="E2" s="31"/>
      <c r="F2" s="27"/>
      <c r="G2" s="126"/>
      <c r="H2" s="106"/>
      <c r="I2" s="106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6.5" customHeight="1" x14ac:dyDescent="0.3">
      <c r="A3" s="7"/>
      <c r="B3" s="32"/>
      <c r="C3" s="33" t="s">
        <v>36</v>
      </c>
      <c r="D3" s="34"/>
      <c r="E3" s="35"/>
      <c r="F3" s="7"/>
      <c r="G3" s="106"/>
      <c r="H3" s="106"/>
      <c r="I3" s="10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6.5" customHeight="1" x14ac:dyDescent="0.2">
      <c r="A4" s="7"/>
      <c r="B4" s="42"/>
      <c r="C4" s="43"/>
      <c r="D4" s="44"/>
      <c r="E4" s="4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6.5" customHeight="1" x14ac:dyDescent="0.2">
      <c r="A5" s="7"/>
      <c r="B5" s="32"/>
      <c r="C5" s="7"/>
      <c r="D5" s="26"/>
      <c r="E5" s="3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5.5" customHeight="1" x14ac:dyDescent="0.2">
      <c r="A6" s="7"/>
      <c r="B6" s="32"/>
      <c r="C6" s="27" t="s">
        <v>27</v>
      </c>
      <c r="D6" s="39"/>
      <c r="E6" s="3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5.5" customHeight="1" x14ac:dyDescent="0.2">
      <c r="A7" s="7"/>
      <c r="B7" s="32"/>
      <c r="C7" s="27" t="s">
        <v>28</v>
      </c>
      <c r="D7" s="40"/>
      <c r="E7" s="3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5.5" customHeight="1" x14ac:dyDescent="0.2">
      <c r="A8" s="7"/>
      <c r="B8" s="32"/>
      <c r="C8" s="27" t="s">
        <v>37</v>
      </c>
      <c r="D8" s="41"/>
      <c r="E8" s="3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5.5" customHeight="1" x14ac:dyDescent="0.2">
      <c r="A9" s="7"/>
      <c r="B9" s="32"/>
      <c r="C9" s="27" t="s">
        <v>38</v>
      </c>
      <c r="D9" s="39"/>
      <c r="E9" s="3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5.5" customHeight="1" x14ac:dyDescent="0.2">
      <c r="A10" s="7"/>
      <c r="B10" s="42"/>
      <c r="C10" s="43"/>
      <c r="D10" s="44"/>
      <c r="E10" s="4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5.5" customHeight="1" x14ac:dyDescent="0.2">
      <c r="A11" s="7"/>
      <c r="B11" s="32"/>
      <c r="C11" s="7"/>
      <c r="D11" s="26"/>
      <c r="E11" s="3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5.5" customHeight="1" x14ac:dyDescent="0.2">
      <c r="A12" s="7"/>
      <c r="B12" s="32"/>
      <c r="C12" s="27" t="s">
        <v>31</v>
      </c>
      <c r="D12" s="39"/>
      <c r="E12" s="3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5.5" customHeight="1" x14ac:dyDescent="0.2">
      <c r="A13" s="7"/>
      <c r="B13" s="32"/>
      <c r="C13" s="27" t="s">
        <v>33</v>
      </c>
      <c r="D13" s="39"/>
      <c r="E13" s="3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5.5" customHeight="1" x14ac:dyDescent="0.2">
      <c r="A14" s="7"/>
      <c r="B14" s="32"/>
      <c r="C14" s="27" t="s">
        <v>39</v>
      </c>
      <c r="D14" s="39"/>
      <c r="E14" s="3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5.5" customHeight="1" x14ac:dyDescent="0.2">
      <c r="A15" s="7"/>
      <c r="B15" s="32"/>
      <c r="C15" s="27" t="s">
        <v>40</v>
      </c>
      <c r="D15" s="39"/>
      <c r="E15" s="35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5.5" customHeight="1" x14ac:dyDescent="0.2">
      <c r="A16" s="7"/>
      <c r="B16" s="32"/>
      <c r="C16" s="27" t="s">
        <v>41</v>
      </c>
      <c r="D16" s="39"/>
      <c r="E16" s="35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5.5" customHeight="1" x14ac:dyDescent="0.2">
      <c r="A17" s="7"/>
      <c r="B17" s="42"/>
      <c r="C17" s="43"/>
      <c r="D17" s="44"/>
      <c r="E17" s="45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9.5" customHeight="1" x14ac:dyDescent="0.2">
      <c r="A18" s="7"/>
      <c r="B18" s="7"/>
      <c r="C18" s="7"/>
      <c r="D18" s="2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9.5" customHeight="1" x14ac:dyDescent="0.2">
      <c r="A19" s="7"/>
      <c r="B19" s="119" t="s">
        <v>10</v>
      </c>
      <c r="C19" s="120"/>
      <c r="D19" s="121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9.5" customHeight="1" x14ac:dyDescent="0.2">
      <c r="A20" s="7"/>
      <c r="B20" s="127"/>
      <c r="C20" s="106"/>
      <c r="D20" s="128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7.25" customHeight="1" x14ac:dyDescent="0.2">
      <c r="A21" s="7"/>
      <c r="B21" s="122"/>
      <c r="C21" s="123"/>
      <c r="D21" s="12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7.25" customHeight="1" x14ac:dyDescent="0.2">
      <c r="A22" s="7"/>
      <c r="B22" s="7"/>
      <c r="C22" s="7"/>
      <c r="D22" s="2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7.25" customHeight="1" x14ac:dyDescent="0.2">
      <c r="A23" s="7"/>
      <c r="B23" s="7"/>
      <c r="C23" s="7"/>
      <c r="D23" s="26"/>
      <c r="E23" s="7"/>
      <c r="F23" s="7"/>
      <c r="G23" s="7"/>
      <c r="H23" s="7"/>
      <c r="I23" s="7">
        <v>2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7.25" customHeight="1" x14ac:dyDescent="0.2">
      <c r="A24" s="7"/>
      <c r="B24" s="7"/>
      <c r="C24" s="7"/>
      <c r="D24" s="2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7.25" customHeight="1" x14ac:dyDescent="0.2">
      <c r="A25" s="7"/>
      <c r="B25" s="7"/>
      <c r="C25" s="7"/>
      <c r="D25" s="2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7.25" customHeight="1" x14ac:dyDescent="0.2">
      <c r="A26" s="7"/>
      <c r="B26" s="7"/>
      <c r="C26" s="7"/>
      <c r="D26" s="2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7.25" customHeight="1" x14ac:dyDescent="0.2">
      <c r="A27" s="7"/>
      <c r="B27" s="7"/>
      <c r="C27" s="7"/>
      <c r="D27" s="2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7.25" customHeight="1" x14ac:dyDescent="0.2">
      <c r="A28" s="7"/>
      <c r="B28" s="7"/>
      <c r="C28" s="7"/>
      <c r="D28" s="2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7"/>
      <c r="B29" s="7"/>
      <c r="C29" s="7"/>
      <c r="D29" s="2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7"/>
      <c r="B30" s="7"/>
      <c r="C30" s="7"/>
      <c r="D30" s="2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7"/>
      <c r="B31" s="7"/>
      <c r="C31" s="7"/>
      <c r="D31" s="2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7"/>
      <c r="B32" s="7"/>
      <c r="C32" s="7"/>
      <c r="D32" s="2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7"/>
      <c r="B33" s="7"/>
      <c r="C33" s="7"/>
      <c r="D33" s="2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7"/>
      <c r="C34" s="7"/>
      <c r="D34" s="2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7"/>
      <c r="C35" s="7"/>
      <c r="D35" s="2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7"/>
      <c r="C36" s="7"/>
      <c r="D36" s="2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7"/>
      <c r="C37" s="7"/>
      <c r="D37" s="2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7"/>
      <c r="B38" s="7"/>
      <c r="C38" s="7"/>
      <c r="D38" s="2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7"/>
      <c r="C39" s="7"/>
      <c r="D39" s="2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7"/>
      <c r="C40" s="7"/>
      <c r="D40" s="2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7"/>
      <c r="C41" s="7"/>
      <c r="D41" s="2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7"/>
      <c r="C42" s="7"/>
      <c r="D42" s="2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7"/>
      <c r="C43" s="7"/>
      <c r="D43" s="2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7"/>
      <c r="C44" s="7"/>
      <c r="D44" s="2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7"/>
      <c r="C45" s="7"/>
      <c r="D45" s="2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7"/>
      <c r="C46" s="7"/>
      <c r="D46" s="2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7"/>
      <c r="C47" s="7"/>
      <c r="D47" s="2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7"/>
      <c r="C48" s="7"/>
      <c r="D48" s="2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7"/>
      <c r="C49" s="7"/>
      <c r="D49" s="2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7"/>
      <c r="C50" s="7"/>
      <c r="D50" s="2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7"/>
      <c r="C51" s="7"/>
      <c r="D51" s="2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7"/>
      <c r="C52" s="7"/>
      <c r="D52" s="2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7"/>
      <c r="C53" s="7"/>
      <c r="D53" s="2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7"/>
      <c r="C54" s="7"/>
      <c r="D54" s="2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7"/>
      <c r="C55" s="7"/>
      <c r="D55" s="2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7"/>
      <c r="C56" s="7"/>
      <c r="D56" s="2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7"/>
      <c r="C57" s="7"/>
      <c r="D57" s="2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7"/>
      <c r="C58" s="7"/>
      <c r="D58" s="2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7"/>
      <c r="C59" s="7"/>
      <c r="D59" s="2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7"/>
      <c r="C60" s="7"/>
      <c r="D60" s="2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7"/>
      <c r="C61" s="7"/>
      <c r="D61" s="2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7"/>
      <c r="C62" s="7"/>
      <c r="D62" s="2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7"/>
      <c r="C63" s="7"/>
      <c r="D63" s="2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7"/>
      <c r="C64" s="7"/>
      <c r="D64" s="2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7"/>
      <c r="C65" s="7"/>
      <c r="D65" s="2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7"/>
      <c r="C66" s="7"/>
      <c r="D66" s="2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7"/>
      <c r="C67" s="7"/>
      <c r="D67" s="2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7"/>
      <c r="C68" s="7"/>
      <c r="D68" s="2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7"/>
      <c r="C69" s="7"/>
      <c r="D69" s="2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7"/>
      <c r="C70" s="7"/>
      <c r="D70" s="2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7"/>
      <c r="C71" s="7"/>
      <c r="D71" s="2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7"/>
      <c r="C72" s="7"/>
      <c r="D72" s="2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7"/>
      <c r="C73" s="7"/>
      <c r="D73" s="2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7"/>
      <c r="C74" s="7"/>
      <c r="D74" s="2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7"/>
      <c r="C75" s="7"/>
      <c r="D75" s="2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7"/>
      <c r="C76" s="7"/>
      <c r="D76" s="2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7"/>
      <c r="C77" s="7"/>
      <c r="D77" s="2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7"/>
      <c r="C78" s="7"/>
      <c r="D78" s="2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7"/>
      <c r="C79" s="7"/>
      <c r="D79" s="2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7"/>
      <c r="C80" s="7"/>
      <c r="D80" s="2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7"/>
      <c r="C81" s="7"/>
      <c r="D81" s="2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7"/>
      <c r="C82" s="7"/>
      <c r="D82" s="2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7"/>
      <c r="C83" s="7"/>
      <c r="D83" s="2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7"/>
      <c r="C84" s="7"/>
      <c r="D84" s="2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7"/>
      <c r="C85" s="7"/>
      <c r="D85" s="2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7"/>
      <c r="C86" s="7"/>
      <c r="D86" s="2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7"/>
      <c r="C87" s="7"/>
      <c r="D87" s="2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7"/>
      <c r="C88" s="7"/>
      <c r="D88" s="2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7"/>
      <c r="C89" s="7"/>
      <c r="D89" s="2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7"/>
      <c r="C90" s="7"/>
      <c r="D90" s="2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7"/>
      <c r="C91" s="7"/>
      <c r="D91" s="2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7"/>
      <c r="C92" s="7"/>
      <c r="D92" s="2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7"/>
      <c r="C93" s="7"/>
      <c r="D93" s="2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7"/>
      <c r="C94" s="7"/>
      <c r="D94" s="2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7"/>
      <c r="C95" s="7"/>
      <c r="D95" s="2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7"/>
      <c r="C96" s="7"/>
      <c r="D96" s="2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7"/>
      <c r="C97" s="7"/>
      <c r="D97" s="2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7"/>
      <c r="C98" s="7"/>
      <c r="D98" s="2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7"/>
      <c r="C99" s="7"/>
      <c r="D99" s="2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7"/>
      <c r="C100" s="7"/>
      <c r="D100" s="2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7"/>
      <c r="C101" s="7"/>
      <c r="D101" s="2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7"/>
      <c r="C102" s="7"/>
      <c r="D102" s="2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7"/>
      <c r="C103" s="7"/>
      <c r="D103" s="2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7"/>
      <c r="C104" s="7"/>
      <c r="D104" s="2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7"/>
      <c r="C105" s="7"/>
      <c r="D105" s="2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7"/>
      <c r="C106" s="7"/>
      <c r="D106" s="2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7"/>
      <c r="C107" s="7"/>
      <c r="D107" s="2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7"/>
      <c r="C108" s="7"/>
      <c r="D108" s="2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7"/>
      <c r="C109" s="7"/>
      <c r="D109" s="2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7"/>
      <c r="C110" s="7"/>
      <c r="D110" s="2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7"/>
      <c r="C111" s="7"/>
      <c r="D111" s="2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7"/>
      <c r="C112" s="7"/>
      <c r="D112" s="2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7"/>
      <c r="C113" s="7"/>
      <c r="D113" s="2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7"/>
      <c r="C114" s="7"/>
      <c r="D114" s="2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7"/>
      <c r="C115" s="7"/>
      <c r="D115" s="2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7"/>
      <c r="C116" s="7"/>
      <c r="D116" s="2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7"/>
      <c r="C117" s="7"/>
      <c r="D117" s="2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7"/>
      <c r="C118" s="7"/>
      <c r="D118" s="2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7"/>
      <c r="C119" s="7"/>
      <c r="D119" s="2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7"/>
      <c r="C120" s="7"/>
      <c r="D120" s="2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7"/>
      <c r="C121" s="7"/>
      <c r="D121" s="2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7"/>
      <c r="C122" s="7"/>
      <c r="D122" s="2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7"/>
      <c r="C123" s="7"/>
      <c r="D123" s="2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7"/>
      <c r="C124" s="7"/>
      <c r="D124" s="2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7"/>
      <c r="C125" s="7"/>
      <c r="D125" s="2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7"/>
      <c r="C126" s="7"/>
      <c r="D126" s="2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7"/>
      <c r="C127" s="7"/>
      <c r="D127" s="2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7"/>
      <c r="C128" s="7"/>
      <c r="D128" s="2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7"/>
      <c r="C129" s="7"/>
      <c r="D129" s="2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7"/>
      <c r="C130" s="7"/>
      <c r="D130" s="2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7"/>
      <c r="C131" s="7"/>
      <c r="D131" s="2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7"/>
      <c r="C132" s="7"/>
      <c r="D132" s="2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7"/>
      <c r="C133" s="7"/>
      <c r="D133" s="2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7"/>
      <c r="C134" s="7"/>
      <c r="D134" s="2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7"/>
      <c r="C135" s="7"/>
      <c r="D135" s="2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7"/>
      <c r="C136" s="7"/>
      <c r="D136" s="2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7"/>
      <c r="C137" s="7"/>
      <c r="D137" s="2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7"/>
      <c r="C138" s="7"/>
      <c r="D138" s="2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7"/>
      <c r="C139" s="7"/>
      <c r="D139" s="2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7"/>
      <c r="C140" s="7"/>
      <c r="D140" s="2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7"/>
      <c r="C141" s="7"/>
      <c r="D141" s="2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7"/>
      <c r="C142" s="7"/>
      <c r="D142" s="2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7"/>
      <c r="C143" s="7"/>
      <c r="D143" s="2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7"/>
      <c r="C144" s="7"/>
      <c r="D144" s="2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7"/>
      <c r="C145" s="7"/>
      <c r="D145" s="2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7"/>
      <c r="C146" s="7"/>
      <c r="D146" s="2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7"/>
      <c r="C147" s="7"/>
      <c r="D147" s="2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7"/>
      <c r="C148" s="7"/>
      <c r="D148" s="2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7"/>
      <c r="C149" s="7"/>
      <c r="D149" s="2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7"/>
      <c r="C150" s="7"/>
      <c r="D150" s="2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7"/>
      <c r="C151" s="7"/>
      <c r="D151" s="2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7"/>
      <c r="C152" s="7"/>
      <c r="D152" s="2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7"/>
      <c r="C153" s="7"/>
      <c r="D153" s="2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7"/>
      <c r="C154" s="7"/>
      <c r="D154" s="2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7"/>
      <c r="C155" s="7"/>
      <c r="D155" s="2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7"/>
      <c r="C156" s="7"/>
      <c r="D156" s="2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7"/>
      <c r="C157" s="7"/>
      <c r="D157" s="2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7"/>
      <c r="C158" s="7"/>
      <c r="D158" s="2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7"/>
      <c r="C159" s="7"/>
      <c r="D159" s="2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7"/>
      <c r="C160" s="7"/>
      <c r="D160" s="2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7"/>
      <c r="C161" s="7"/>
      <c r="D161" s="2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7"/>
      <c r="C162" s="7"/>
      <c r="D162" s="2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7"/>
      <c r="C163" s="7"/>
      <c r="D163" s="2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7"/>
      <c r="C164" s="7"/>
      <c r="D164" s="2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7"/>
      <c r="C165" s="7"/>
      <c r="D165" s="2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7"/>
      <c r="C166" s="7"/>
      <c r="D166" s="2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7"/>
      <c r="C167" s="7"/>
      <c r="D167" s="2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7"/>
      <c r="C168" s="7"/>
      <c r="D168" s="2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7"/>
      <c r="C169" s="7"/>
      <c r="D169" s="2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7"/>
      <c r="C170" s="7"/>
      <c r="D170" s="2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7"/>
      <c r="C171" s="7"/>
      <c r="D171" s="2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7"/>
      <c r="C172" s="7"/>
      <c r="D172" s="2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7"/>
      <c r="C173" s="7"/>
      <c r="D173" s="2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7"/>
      <c r="C174" s="7"/>
      <c r="D174" s="2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7"/>
      <c r="C175" s="7"/>
      <c r="D175" s="2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7"/>
      <c r="C176" s="7"/>
      <c r="D176" s="2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7"/>
      <c r="C177" s="7"/>
      <c r="D177" s="2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7"/>
      <c r="C178" s="7"/>
      <c r="D178" s="2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7"/>
      <c r="C179" s="7"/>
      <c r="D179" s="2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7"/>
      <c r="C180" s="7"/>
      <c r="D180" s="2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7"/>
      <c r="C181" s="7"/>
      <c r="D181" s="2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7"/>
      <c r="C182" s="7"/>
      <c r="D182" s="2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7"/>
      <c r="C183" s="7"/>
      <c r="D183" s="2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7"/>
      <c r="C184" s="7"/>
      <c r="D184" s="2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7"/>
      <c r="C185" s="7"/>
      <c r="D185" s="2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7"/>
      <c r="C186" s="7"/>
      <c r="D186" s="2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7"/>
      <c r="C187" s="7"/>
      <c r="D187" s="2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7"/>
      <c r="C188" s="7"/>
      <c r="D188" s="2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7"/>
      <c r="C189" s="7"/>
      <c r="D189" s="2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7"/>
      <c r="C190" s="7"/>
      <c r="D190" s="2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7"/>
      <c r="C191" s="7"/>
      <c r="D191" s="2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7"/>
      <c r="C192" s="7"/>
      <c r="D192" s="2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7"/>
      <c r="C193" s="7"/>
      <c r="D193" s="2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7"/>
      <c r="C194" s="7"/>
      <c r="D194" s="2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7"/>
      <c r="C195" s="7"/>
      <c r="D195" s="2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7"/>
      <c r="C196" s="7"/>
      <c r="D196" s="2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7"/>
      <c r="C197" s="7"/>
      <c r="D197" s="2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7"/>
      <c r="C198" s="7"/>
      <c r="D198" s="2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7"/>
      <c r="C199" s="7"/>
      <c r="D199" s="2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7"/>
      <c r="C200" s="7"/>
      <c r="D200" s="2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7"/>
      <c r="C201" s="7"/>
      <c r="D201" s="2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7"/>
      <c r="C202" s="7"/>
      <c r="D202" s="2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7"/>
      <c r="C203" s="7"/>
      <c r="D203" s="2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7"/>
      <c r="C204" s="7"/>
      <c r="D204" s="2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7"/>
      <c r="C205" s="7"/>
      <c r="D205" s="2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7"/>
      <c r="C206" s="7"/>
      <c r="D206" s="2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7"/>
      <c r="C207" s="7"/>
      <c r="D207" s="2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7"/>
      <c r="C208" s="7"/>
      <c r="D208" s="2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7"/>
      <c r="C209" s="7"/>
      <c r="D209" s="2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7"/>
      <c r="C210" s="7"/>
      <c r="D210" s="2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7"/>
      <c r="C211" s="7"/>
      <c r="D211" s="2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7"/>
      <c r="C212" s="7"/>
      <c r="D212" s="2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7"/>
      <c r="C213" s="7"/>
      <c r="D213" s="2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7"/>
      <c r="C214" s="7"/>
      <c r="D214" s="2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7"/>
      <c r="C215" s="7"/>
      <c r="D215" s="2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7"/>
      <c r="C216" s="7"/>
      <c r="D216" s="2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7"/>
      <c r="C217" s="7"/>
      <c r="D217" s="2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7"/>
      <c r="C218" s="7"/>
      <c r="D218" s="2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7"/>
      <c r="C219" s="7"/>
      <c r="D219" s="2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7"/>
      <c r="C220" s="7"/>
      <c r="D220" s="2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"/>
    <row r="222" spans="1:26" ht="15.75" customHeight="1" x14ac:dyDescent="0.2"/>
    <row r="223" spans="1:26" ht="15.75" customHeight="1" x14ac:dyDescent="0.2"/>
    <row r="224" spans="1:26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G2:I3"/>
    <mergeCell ref="B19:D21"/>
  </mergeCells>
  <hyperlinks>
    <hyperlink ref="B19" location="Menu!A1" display="VOLVER AL MENÚ" xr:uid="{00000000-0004-0000-0400-000000000000}"/>
  </hyperlinks>
  <pageMargins left="0.9055118110236221" right="0.31496062992125984" top="0.74803149606299213" bottom="0.74803149606299213" header="0" footer="0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8F84B"/>
    <pageSetUpPr fitToPage="1"/>
  </sheetPr>
  <dimension ref="A1:AG1000"/>
  <sheetViews>
    <sheetView showGridLines="0" workbookViewId="0">
      <selection activeCell="D14" sqref="D14"/>
    </sheetView>
  </sheetViews>
  <sheetFormatPr baseColWidth="10" defaultColWidth="14.42578125" defaultRowHeight="15" customHeight="1" x14ac:dyDescent="0.2"/>
  <cols>
    <col min="1" max="1" width="1.5703125" customWidth="1"/>
    <col min="2" max="2" width="3" customWidth="1"/>
    <col min="3" max="3" width="32.42578125" customWidth="1"/>
    <col min="4" max="4" width="12.5703125" customWidth="1"/>
    <col min="5" max="5" width="3" customWidth="1"/>
    <col min="6" max="6" width="2.42578125" customWidth="1"/>
    <col min="7" max="31" width="10.7109375" customWidth="1"/>
  </cols>
  <sheetData>
    <row r="1" spans="1:33" ht="12.75" customHeight="1" x14ac:dyDescent="0.2">
      <c r="A1" s="7"/>
      <c r="B1" s="7"/>
      <c r="C1" s="7"/>
      <c r="D1" s="2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24" customHeight="1" x14ac:dyDescent="0.2">
      <c r="A2" s="27"/>
      <c r="B2" s="28"/>
      <c r="C2" s="29" t="s">
        <v>25</v>
      </c>
      <c r="D2" s="30"/>
      <c r="E2" s="31"/>
      <c r="F2" s="27"/>
      <c r="G2" s="126"/>
      <c r="H2" s="106"/>
      <c r="I2" s="106"/>
      <c r="J2" s="106"/>
      <c r="K2" s="106"/>
      <c r="L2" s="106"/>
      <c r="M2" s="106"/>
      <c r="N2" s="106"/>
      <c r="O2" s="106"/>
      <c r="P2" s="106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</row>
    <row r="3" spans="1:33" ht="16.5" customHeight="1" x14ac:dyDescent="0.3">
      <c r="A3" s="7"/>
      <c r="B3" s="32"/>
      <c r="C3" s="33" t="s">
        <v>42</v>
      </c>
      <c r="D3" s="34"/>
      <c r="E3" s="35"/>
      <c r="F3" s="7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</row>
    <row r="4" spans="1:33" ht="16.5" customHeight="1" x14ac:dyDescent="0.2">
      <c r="A4" s="7"/>
      <c r="B4" s="42"/>
      <c r="C4" s="43"/>
      <c r="D4" s="44"/>
      <c r="E4" s="4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1:33" ht="16.5" customHeight="1" x14ac:dyDescent="0.2">
      <c r="A5" s="7"/>
      <c r="B5" s="32"/>
      <c r="C5" s="7"/>
      <c r="D5" s="26"/>
      <c r="E5" s="35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1:33" ht="25.5" customHeight="1" x14ac:dyDescent="0.2">
      <c r="A6" s="7"/>
      <c r="B6" s="32"/>
      <c r="C6" s="27" t="s">
        <v>27</v>
      </c>
      <c r="D6" s="39"/>
      <c r="E6" s="35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1:33" ht="25.5" customHeight="1" x14ac:dyDescent="0.2">
      <c r="A7" s="7"/>
      <c r="B7" s="32"/>
      <c r="C7" s="27" t="s">
        <v>43</v>
      </c>
      <c r="D7" s="40"/>
      <c r="E7" s="3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1:33" ht="25.5" customHeight="1" x14ac:dyDescent="0.2">
      <c r="A8" s="7"/>
      <c r="B8" s="32"/>
      <c r="C8" s="27" t="s">
        <v>29</v>
      </c>
      <c r="D8" s="41"/>
      <c r="E8" s="3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ht="25.5" customHeight="1" x14ac:dyDescent="0.2">
      <c r="A9" s="7"/>
      <c r="B9" s="32"/>
      <c r="C9" s="27" t="s">
        <v>44</v>
      </c>
      <c r="D9" s="39"/>
      <c r="E9" s="3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ht="25.5" customHeight="1" x14ac:dyDescent="0.2">
      <c r="A10" s="7"/>
      <c r="B10" s="42"/>
      <c r="C10" s="43"/>
      <c r="D10" s="50"/>
      <c r="E10" s="4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5.5" customHeight="1" x14ac:dyDescent="0.2">
      <c r="A11" s="7"/>
      <c r="B11" s="32"/>
      <c r="C11" s="7"/>
      <c r="D11" s="51"/>
      <c r="E11" s="3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25.5" customHeight="1" x14ac:dyDescent="0.2">
      <c r="A12" s="7"/>
      <c r="B12" s="32"/>
      <c r="C12" s="27" t="s">
        <v>31</v>
      </c>
      <c r="D12" s="39"/>
      <c r="E12" s="3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ht="25.5" customHeight="1" x14ac:dyDescent="0.2">
      <c r="A13" s="7"/>
      <c r="B13" s="32"/>
      <c r="C13" s="27" t="s">
        <v>33</v>
      </c>
      <c r="D13" s="39"/>
      <c r="E13" s="3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25.5" customHeight="1" x14ac:dyDescent="0.2">
      <c r="A14" s="7"/>
      <c r="B14" s="32"/>
      <c r="C14" s="27" t="s">
        <v>45</v>
      </c>
      <c r="D14" s="39"/>
      <c r="E14" s="3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25.5" customHeight="1" x14ac:dyDescent="0.2">
      <c r="A15" s="7"/>
      <c r="B15" s="42"/>
      <c r="C15" s="43"/>
      <c r="D15" s="44"/>
      <c r="E15" s="45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9.5" customHeight="1" x14ac:dyDescent="0.2">
      <c r="A16" s="7"/>
      <c r="B16" s="7"/>
      <c r="C16" s="7"/>
      <c r="D16" s="26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9.5" customHeight="1" x14ac:dyDescent="0.2">
      <c r="A17" s="7"/>
      <c r="B17" s="129" t="s">
        <v>10</v>
      </c>
      <c r="C17" s="130"/>
      <c r="D17" s="112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9.5" customHeight="1" x14ac:dyDescent="0.2">
      <c r="A18" s="7"/>
      <c r="B18" s="113"/>
      <c r="C18" s="106"/>
      <c r="D18" s="114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7.25" customHeight="1" x14ac:dyDescent="0.2">
      <c r="A19" s="7"/>
      <c r="B19" s="115"/>
      <c r="C19" s="131"/>
      <c r="D19" s="11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7.25" customHeight="1" x14ac:dyDescent="0.2">
      <c r="A20" s="7"/>
      <c r="B20" s="7"/>
      <c r="C20" s="7"/>
      <c r="D20" s="2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7.25" customHeight="1" x14ac:dyDescent="0.2">
      <c r="A21" s="7"/>
      <c r="B21" s="7"/>
      <c r="C21" s="7"/>
      <c r="D21" s="2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7.25" customHeight="1" x14ac:dyDescent="0.2">
      <c r="A22" s="7"/>
      <c r="B22" s="7"/>
      <c r="C22" s="7"/>
      <c r="D22" s="2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7.25" customHeight="1" x14ac:dyDescent="0.2">
      <c r="A23" s="7"/>
      <c r="B23" s="7"/>
      <c r="C23" s="7"/>
      <c r="D23" s="2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7.25" customHeight="1" x14ac:dyDescent="0.2">
      <c r="A24" s="7"/>
      <c r="B24" s="7"/>
      <c r="C24" s="7"/>
      <c r="D24" s="2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7.25" customHeight="1" x14ac:dyDescent="0.2">
      <c r="A25" s="7"/>
      <c r="B25" s="7"/>
      <c r="C25" s="7"/>
      <c r="D25" s="2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7.25" customHeight="1" x14ac:dyDescent="0.2">
      <c r="A26" s="7"/>
      <c r="B26" s="7"/>
      <c r="C26" s="7"/>
      <c r="D26" s="2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2.75" customHeight="1" x14ac:dyDescent="0.2">
      <c r="A27" s="7"/>
      <c r="B27" s="7"/>
      <c r="C27" s="7"/>
      <c r="D27" s="2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2.75" customHeight="1" x14ac:dyDescent="0.2">
      <c r="A28" s="7"/>
      <c r="B28" s="7"/>
      <c r="C28" s="7"/>
      <c r="D28" s="2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2.75" customHeight="1" x14ac:dyDescent="0.2">
      <c r="A29" s="7"/>
      <c r="B29" s="7"/>
      <c r="C29" s="7"/>
      <c r="D29" s="2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2.75" customHeight="1" x14ac:dyDescent="0.2">
      <c r="A30" s="7"/>
      <c r="B30" s="7"/>
      <c r="C30" s="7"/>
      <c r="D30" s="2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2.75" customHeight="1" x14ac:dyDescent="0.2">
      <c r="A31" s="7"/>
      <c r="B31" s="7"/>
      <c r="C31" s="7"/>
      <c r="D31" s="2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2.75" customHeight="1" x14ac:dyDescent="0.2">
      <c r="A32" s="7"/>
      <c r="B32" s="7"/>
      <c r="C32" s="7"/>
      <c r="D32" s="2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2.75" customHeight="1" x14ac:dyDescent="0.2">
      <c r="A33" s="7"/>
      <c r="B33" s="7"/>
      <c r="C33" s="7"/>
      <c r="D33" s="2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2.75" customHeight="1" x14ac:dyDescent="0.2">
      <c r="A34" s="7"/>
      <c r="B34" s="7"/>
      <c r="C34" s="7"/>
      <c r="D34" s="2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2.75" customHeight="1" x14ac:dyDescent="0.2">
      <c r="A35" s="7"/>
      <c r="B35" s="7"/>
      <c r="C35" s="7"/>
      <c r="D35" s="2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2.75" customHeight="1" x14ac:dyDescent="0.2">
      <c r="A36" s="7"/>
      <c r="B36" s="7"/>
      <c r="C36" s="7"/>
      <c r="D36" s="2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2.75" customHeight="1" x14ac:dyDescent="0.2">
      <c r="A37" s="7"/>
      <c r="B37" s="7"/>
      <c r="C37" s="7"/>
      <c r="D37" s="2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2.75" customHeight="1" x14ac:dyDescent="0.2">
      <c r="A38" s="7"/>
      <c r="B38" s="7"/>
      <c r="C38" s="7"/>
      <c r="D38" s="2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12.75" customHeight="1" x14ac:dyDescent="0.2">
      <c r="A39" s="7"/>
      <c r="B39" s="7"/>
      <c r="C39" s="7"/>
      <c r="D39" s="2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ht="12.75" customHeight="1" x14ac:dyDescent="0.2">
      <c r="A40" s="7"/>
      <c r="B40" s="7"/>
      <c r="C40" s="7"/>
      <c r="D40" s="2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ht="12.75" customHeight="1" x14ac:dyDescent="0.2">
      <c r="A41" s="7"/>
      <c r="B41" s="7"/>
      <c r="C41" s="7"/>
      <c r="D41" s="2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ht="12.75" customHeight="1" x14ac:dyDescent="0.2">
      <c r="A42" s="7"/>
      <c r="B42" s="7"/>
      <c r="C42" s="7"/>
      <c r="D42" s="2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2.75" customHeight="1" x14ac:dyDescent="0.2">
      <c r="A43" s="7"/>
      <c r="B43" s="7"/>
      <c r="C43" s="7"/>
      <c r="D43" s="2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ht="12.75" customHeight="1" x14ac:dyDescent="0.2">
      <c r="A44" s="7"/>
      <c r="B44" s="7"/>
      <c r="C44" s="7"/>
      <c r="D44" s="2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ht="12.75" customHeight="1" x14ac:dyDescent="0.2">
      <c r="A45" s="7"/>
      <c r="B45" s="7"/>
      <c r="C45" s="7"/>
      <c r="D45" s="2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ht="12.75" customHeight="1" x14ac:dyDescent="0.2">
      <c r="A46" s="7"/>
      <c r="B46" s="7"/>
      <c r="C46" s="7"/>
      <c r="D46" s="2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ht="12.75" customHeight="1" x14ac:dyDescent="0.2">
      <c r="A47" s="7"/>
      <c r="B47" s="7"/>
      <c r="C47" s="7"/>
      <c r="D47" s="2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ht="12.75" customHeight="1" x14ac:dyDescent="0.2">
      <c r="A48" s="7"/>
      <c r="B48" s="7"/>
      <c r="C48" s="7"/>
      <c r="D48" s="2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2.75" customHeight="1" x14ac:dyDescent="0.2">
      <c r="A49" s="7"/>
      <c r="B49" s="7"/>
      <c r="C49" s="7"/>
      <c r="D49" s="2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ht="12.75" customHeight="1" x14ac:dyDescent="0.2">
      <c r="A50" s="7"/>
      <c r="B50" s="7"/>
      <c r="C50" s="7"/>
      <c r="D50" s="2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ht="12.75" customHeight="1" x14ac:dyDescent="0.2">
      <c r="A51" s="7"/>
      <c r="B51" s="7"/>
      <c r="C51" s="7"/>
      <c r="D51" s="2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ht="12.75" customHeight="1" x14ac:dyDescent="0.2">
      <c r="A52" s="7"/>
      <c r="B52" s="7"/>
      <c r="C52" s="7"/>
      <c r="D52" s="2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2.75" customHeight="1" x14ac:dyDescent="0.2">
      <c r="A53" s="7"/>
      <c r="B53" s="7"/>
      <c r="C53" s="7"/>
      <c r="D53" s="2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2.75" customHeight="1" x14ac:dyDescent="0.2">
      <c r="A54" s="7"/>
      <c r="B54" s="7"/>
      <c r="C54" s="7"/>
      <c r="D54" s="2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2.75" customHeight="1" x14ac:dyDescent="0.2">
      <c r="A55" s="7"/>
      <c r="B55" s="7"/>
      <c r="C55" s="7"/>
      <c r="D55" s="2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2.75" customHeight="1" x14ac:dyDescent="0.2">
      <c r="A56" s="7"/>
      <c r="B56" s="7"/>
      <c r="C56" s="7"/>
      <c r="D56" s="2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2.75" customHeight="1" x14ac:dyDescent="0.2">
      <c r="A57" s="7"/>
      <c r="B57" s="7"/>
      <c r="C57" s="7"/>
      <c r="D57" s="2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2.75" customHeight="1" x14ac:dyDescent="0.2">
      <c r="A58" s="7"/>
      <c r="B58" s="7"/>
      <c r="C58" s="7"/>
      <c r="D58" s="2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2.75" customHeight="1" x14ac:dyDescent="0.2">
      <c r="A59" s="7"/>
      <c r="B59" s="7"/>
      <c r="C59" s="7"/>
      <c r="D59" s="2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2.75" customHeight="1" x14ac:dyDescent="0.2">
      <c r="A60" s="7"/>
      <c r="B60" s="7"/>
      <c r="C60" s="7"/>
      <c r="D60" s="2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2.75" customHeight="1" x14ac:dyDescent="0.2">
      <c r="A61" s="7"/>
      <c r="B61" s="7"/>
      <c r="C61" s="7"/>
      <c r="D61" s="2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2.75" customHeight="1" x14ac:dyDescent="0.2">
      <c r="A62" s="7"/>
      <c r="B62" s="7"/>
      <c r="C62" s="7"/>
      <c r="D62" s="2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2.75" customHeight="1" x14ac:dyDescent="0.2">
      <c r="A63" s="7"/>
      <c r="B63" s="7"/>
      <c r="C63" s="7"/>
      <c r="D63" s="2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2.75" customHeight="1" x14ac:dyDescent="0.2">
      <c r="A64" s="7"/>
      <c r="B64" s="7"/>
      <c r="C64" s="7"/>
      <c r="D64" s="2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2.75" customHeight="1" x14ac:dyDescent="0.2">
      <c r="A65" s="7"/>
      <c r="B65" s="7"/>
      <c r="C65" s="7"/>
      <c r="D65" s="2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2.75" customHeight="1" x14ac:dyDescent="0.2">
      <c r="A66" s="7"/>
      <c r="B66" s="7"/>
      <c r="C66" s="7"/>
      <c r="D66" s="2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2.75" customHeight="1" x14ac:dyDescent="0.2">
      <c r="A67" s="7"/>
      <c r="B67" s="7"/>
      <c r="C67" s="7"/>
      <c r="D67" s="2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2.75" customHeight="1" x14ac:dyDescent="0.2">
      <c r="A68" s="7"/>
      <c r="B68" s="7"/>
      <c r="C68" s="7"/>
      <c r="D68" s="2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2.75" customHeight="1" x14ac:dyDescent="0.2">
      <c r="A69" s="7"/>
      <c r="B69" s="7"/>
      <c r="C69" s="7"/>
      <c r="D69" s="2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2.75" customHeight="1" x14ac:dyDescent="0.2">
      <c r="A70" s="7"/>
      <c r="B70" s="7"/>
      <c r="C70" s="7"/>
      <c r="D70" s="2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2.75" customHeight="1" x14ac:dyDescent="0.2">
      <c r="A71" s="7"/>
      <c r="B71" s="7"/>
      <c r="C71" s="7"/>
      <c r="D71" s="2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2.75" customHeight="1" x14ac:dyDescent="0.2">
      <c r="A72" s="7"/>
      <c r="B72" s="7"/>
      <c r="C72" s="7"/>
      <c r="D72" s="2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2.75" customHeight="1" x14ac:dyDescent="0.2">
      <c r="A73" s="7"/>
      <c r="B73" s="7"/>
      <c r="C73" s="7"/>
      <c r="D73" s="2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2.75" customHeight="1" x14ac:dyDescent="0.2">
      <c r="A74" s="7"/>
      <c r="B74" s="7"/>
      <c r="C74" s="7"/>
      <c r="D74" s="2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2.75" customHeight="1" x14ac:dyDescent="0.2">
      <c r="A75" s="7"/>
      <c r="B75" s="7"/>
      <c r="C75" s="7"/>
      <c r="D75" s="2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2.75" customHeight="1" x14ac:dyDescent="0.2">
      <c r="A76" s="7"/>
      <c r="B76" s="7"/>
      <c r="C76" s="7"/>
      <c r="D76" s="2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2.75" customHeight="1" x14ac:dyDescent="0.2">
      <c r="A77" s="7"/>
      <c r="B77" s="7"/>
      <c r="C77" s="7"/>
      <c r="D77" s="2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2.75" customHeight="1" x14ac:dyDescent="0.2">
      <c r="A78" s="7"/>
      <c r="B78" s="7"/>
      <c r="C78" s="7"/>
      <c r="D78" s="2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2.75" customHeight="1" x14ac:dyDescent="0.2">
      <c r="A79" s="7"/>
      <c r="B79" s="7"/>
      <c r="C79" s="7"/>
      <c r="D79" s="2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2.75" customHeight="1" x14ac:dyDescent="0.2">
      <c r="A80" s="7"/>
      <c r="B80" s="7"/>
      <c r="C80" s="7"/>
      <c r="D80" s="2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2.75" customHeight="1" x14ac:dyDescent="0.2">
      <c r="A81" s="7"/>
      <c r="B81" s="7"/>
      <c r="C81" s="7"/>
      <c r="D81" s="2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2.75" customHeight="1" x14ac:dyDescent="0.2">
      <c r="A82" s="7"/>
      <c r="B82" s="7"/>
      <c r="C82" s="7"/>
      <c r="D82" s="2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2.75" customHeight="1" x14ac:dyDescent="0.2">
      <c r="A83" s="7"/>
      <c r="B83" s="7"/>
      <c r="C83" s="7"/>
      <c r="D83" s="2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2.75" customHeight="1" x14ac:dyDescent="0.2">
      <c r="A84" s="7"/>
      <c r="B84" s="7"/>
      <c r="C84" s="7"/>
      <c r="D84" s="2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2.75" customHeight="1" x14ac:dyDescent="0.2">
      <c r="A85" s="7"/>
      <c r="B85" s="7"/>
      <c r="C85" s="7"/>
      <c r="D85" s="2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2.75" customHeight="1" x14ac:dyDescent="0.2">
      <c r="A86" s="7"/>
      <c r="B86" s="7"/>
      <c r="C86" s="7"/>
      <c r="D86" s="2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2.75" customHeight="1" x14ac:dyDescent="0.2">
      <c r="A87" s="7"/>
      <c r="B87" s="7"/>
      <c r="C87" s="7"/>
      <c r="D87" s="2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2.75" customHeight="1" x14ac:dyDescent="0.2">
      <c r="A88" s="7"/>
      <c r="B88" s="7"/>
      <c r="C88" s="7"/>
      <c r="D88" s="2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2.75" customHeight="1" x14ac:dyDescent="0.2">
      <c r="A89" s="7"/>
      <c r="B89" s="7"/>
      <c r="C89" s="7"/>
      <c r="D89" s="2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2.75" customHeight="1" x14ac:dyDescent="0.2">
      <c r="A90" s="7"/>
      <c r="B90" s="7"/>
      <c r="C90" s="7"/>
      <c r="D90" s="2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2.75" customHeight="1" x14ac:dyDescent="0.2">
      <c r="A91" s="7"/>
      <c r="B91" s="7"/>
      <c r="C91" s="7"/>
      <c r="D91" s="2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2.75" customHeight="1" x14ac:dyDescent="0.2">
      <c r="A92" s="7"/>
      <c r="B92" s="7"/>
      <c r="C92" s="7"/>
      <c r="D92" s="2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2.75" customHeight="1" x14ac:dyDescent="0.2">
      <c r="A93" s="7"/>
      <c r="B93" s="7"/>
      <c r="C93" s="7"/>
      <c r="D93" s="2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2.75" customHeight="1" x14ac:dyDescent="0.2">
      <c r="A94" s="7"/>
      <c r="B94" s="7"/>
      <c r="C94" s="7"/>
      <c r="D94" s="2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2.75" customHeight="1" x14ac:dyDescent="0.2">
      <c r="A95" s="7"/>
      <c r="B95" s="7"/>
      <c r="C95" s="7"/>
      <c r="D95" s="2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2.75" customHeight="1" x14ac:dyDescent="0.2">
      <c r="A96" s="7"/>
      <c r="B96" s="7"/>
      <c r="C96" s="7"/>
      <c r="D96" s="2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2.75" customHeight="1" x14ac:dyDescent="0.2">
      <c r="A97" s="7"/>
      <c r="B97" s="7"/>
      <c r="C97" s="7"/>
      <c r="D97" s="2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2.75" customHeight="1" x14ac:dyDescent="0.2">
      <c r="A98" s="7"/>
      <c r="B98" s="7"/>
      <c r="C98" s="7"/>
      <c r="D98" s="2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2.75" customHeight="1" x14ac:dyDescent="0.2">
      <c r="A99" s="7"/>
      <c r="B99" s="7"/>
      <c r="C99" s="7"/>
      <c r="D99" s="2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2.75" customHeight="1" x14ac:dyDescent="0.2">
      <c r="A100" s="7"/>
      <c r="B100" s="7"/>
      <c r="C100" s="7"/>
      <c r="D100" s="2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2.75" customHeight="1" x14ac:dyDescent="0.2">
      <c r="A101" s="7"/>
      <c r="B101" s="7"/>
      <c r="C101" s="7"/>
      <c r="D101" s="2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2.75" customHeight="1" x14ac:dyDescent="0.2">
      <c r="A102" s="7"/>
      <c r="B102" s="7"/>
      <c r="C102" s="7"/>
      <c r="D102" s="2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2.75" customHeight="1" x14ac:dyDescent="0.2">
      <c r="A103" s="7"/>
      <c r="B103" s="7"/>
      <c r="C103" s="7"/>
      <c r="D103" s="2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2.75" customHeight="1" x14ac:dyDescent="0.2">
      <c r="A104" s="7"/>
      <c r="B104" s="7"/>
      <c r="C104" s="7"/>
      <c r="D104" s="2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2.75" customHeight="1" x14ac:dyDescent="0.2">
      <c r="A105" s="7"/>
      <c r="B105" s="7"/>
      <c r="C105" s="7"/>
      <c r="D105" s="2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2.75" customHeight="1" x14ac:dyDescent="0.2">
      <c r="A106" s="7"/>
      <c r="B106" s="7"/>
      <c r="C106" s="7"/>
      <c r="D106" s="2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2.75" customHeight="1" x14ac:dyDescent="0.2">
      <c r="A107" s="7"/>
      <c r="B107" s="7"/>
      <c r="C107" s="7"/>
      <c r="D107" s="2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2.75" customHeight="1" x14ac:dyDescent="0.2">
      <c r="A108" s="7"/>
      <c r="B108" s="7"/>
      <c r="C108" s="7"/>
      <c r="D108" s="2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2.75" customHeight="1" x14ac:dyDescent="0.2">
      <c r="A109" s="7"/>
      <c r="B109" s="7"/>
      <c r="C109" s="7"/>
      <c r="D109" s="2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2.75" customHeight="1" x14ac:dyDescent="0.2">
      <c r="A110" s="7"/>
      <c r="B110" s="7"/>
      <c r="C110" s="7"/>
      <c r="D110" s="2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2.75" customHeight="1" x14ac:dyDescent="0.2">
      <c r="A111" s="7"/>
      <c r="B111" s="7"/>
      <c r="C111" s="7"/>
      <c r="D111" s="2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2.75" customHeight="1" x14ac:dyDescent="0.2">
      <c r="A112" s="7"/>
      <c r="B112" s="7"/>
      <c r="C112" s="7"/>
      <c r="D112" s="2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2.75" customHeight="1" x14ac:dyDescent="0.2">
      <c r="A113" s="7"/>
      <c r="B113" s="7"/>
      <c r="C113" s="7"/>
      <c r="D113" s="2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2.75" customHeight="1" x14ac:dyDescent="0.2">
      <c r="A114" s="7"/>
      <c r="B114" s="7"/>
      <c r="C114" s="7"/>
      <c r="D114" s="2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2.75" customHeight="1" x14ac:dyDescent="0.2">
      <c r="A115" s="7"/>
      <c r="B115" s="7"/>
      <c r="C115" s="7"/>
      <c r="D115" s="2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2.75" customHeight="1" x14ac:dyDescent="0.2">
      <c r="A116" s="7"/>
      <c r="B116" s="7"/>
      <c r="C116" s="7"/>
      <c r="D116" s="2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2.75" customHeight="1" x14ac:dyDescent="0.2">
      <c r="A117" s="7"/>
      <c r="B117" s="7"/>
      <c r="C117" s="7"/>
      <c r="D117" s="2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2.75" customHeight="1" x14ac:dyDescent="0.2">
      <c r="A118" s="7"/>
      <c r="B118" s="7"/>
      <c r="C118" s="7"/>
      <c r="D118" s="2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2.75" customHeight="1" x14ac:dyDescent="0.2">
      <c r="A119" s="7"/>
      <c r="B119" s="7"/>
      <c r="C119" s="7"/>
      <c r="D119" s="2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2.75" customHeight="1" x14ac:dyDescent="0.2">
      <c r="A120" s="7"/>
      <c r="B120" s="7"/>
      <c r="C120" s="7"/>
      <c r="D120" s="2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2.75" customHeight="1" x14ac:dyDescent="0.2">
      <c r="A121" s="7"/>
      <c r="B121" s="7"/>
      <c r="C121" s="7"/>
      <c r="D121" s="2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2.75" customHeight="1" x14ac:dyDescent="0.2">
      <c r="A122" s="7"/>
      <c r="B122" s="7"/>
      <c r="C122" s="7"/>
      <c r="D122" s="2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2.75" customHeight="1" x14ac:dyDescent="0.2">
      <c r="A123" s="7"/>
      <c r="B123" s="7"/>
      <c r="C123" s="7"/>
      <c r="D123" s="2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2.75" customHeight="1" x14ac:dyDescent="0.2">
      <c r="A124" s="7"/>
      <c r="B124" s="7"/>
      <c r="C124" s="7"/>
      <c r="D124" s="2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2.75" customHeight="1" x14ac:dyDescent="0.2">
      <c r="A125" s="7"/>
      <c r="B125" s="7"/>
      <c r="C125" s="7"/>
      <c r="D125" s="2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2.75" customHeight="1" x14ac:dyDescent="0.2">
      <c r="A126" s="7"/>
      <c r="B126" s="7"/>
      <c r="C126" s="7"/>
      <c r="D126" s="2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2.75" customHeight="1" x14ac:dyDescent="0.2">
      <c r="A127" s="7"/>
      <c r="B127" s="7"/>
      <c r="C127" s="7"/>
      <c r="D127" s="2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2.75" customHeight="1" x14ac:dyDescent="0.2">
      <c r="A128" s="7"/>
      <c r="B128" s="7"/>
      <c r="C128" s="7"/>
      <c r="D128" s="2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2.75" customHeight="1" x14ac:dyDescent="0.2">
      <c r="A129" s="7"/>
      <c r="B129" s="7"/>
      <c r="C129" s="7"/>
      <c r="D129" s="2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2.75" customHeight="1" x14ac:dyDescent="0.2">
      <c r="A130" s="7"/>
      <c r="B130" s="7"/>
      <c r="C130" s="7"/>
      <c r="D130" s="2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2.75" customHeight="1" x14ac:dyDescent="0.2">
      <c r="A131" s="7"/>
      <c r="B131" s="7"/>
      <c r="C131" s="7"/>
      <c r="D131" s="2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2.75" customHeight="1" x14ac:dyDescent="0.2">
      <c r="A132" s="7"/>
      <c r="B132" s="7"/>
      <c r="C132" s="7"/>
      <c r="D132" s="2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2.75" customHeight="1" x14ac:dyDescent="0.2">
      <c r="A133" s="7"/>
      <c r="B133" s="7"/>
      <c r="C133" s="7"/>
      <c r="D133" s="2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2.75" customHeight="1" x14ac:dyDescent="0.2">
      <c r="A134" s="7"/>
      <c r="B134" s="7"/>
      <c r="C134" s="7"/>
      <c r="D134" s="2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2.75" customHeight="1" x14ac:dyDescent="0.2">
      <c r="A135" s="7"/>
      <c r="B135" s="7"/>
      <c r="C135" s="7"/>
      <c r="D135" s="2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2.75" customHeight="1" x14ac:dyDescent="0.2">
      <c r="A136" s="7"/>
      <c r="B136" s="7"/>
      <c r="C136" s="7"/>
      <c r="D136" s="2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2.75" customHeight="1" x14ac:dyDescent="0.2">
      <c r="A137" s="7"/>
      <c r="B137" s="7"/>
      <c r="C137" s="7"/>
      <c r="D137" s="2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2.75" customHeight="1" x14ac:dyDescent="0.2">
      <c r="A138" s="7"/>
      <c r="B138" s="7"/>
      <c r="C138" s="7"/>
      <c r="D138" s="2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2.75" customHeight="1" x14ac:dyDescent="0.2">
      <c r="A139" s="7"/>
      <c r="B139" s="7"/>
      <c r="C139" s="7"/>
      <c r="D139" s="2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2.75" customHeight="1" x14ac:dyDescent="0.2">
      <c r="A140" s="7"/>
      <c r="B140" s="7"/>
      <c r="C140" s="7"/>
      <c r="D140" s="2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2.75" customHeight="1" x14ac:dyDescent="0.2">
      <c r="A141" s="7"/>
      <c r="B141" s="7"/>
      <c r="C141" s="7"/>
      <c r="D141" s="2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2.75" customHeight="1" x14ac:dyDescent="0.2">
      <c r="A142" s="7"/>
      <c r="B142" s="7"/>
      <c r="C142" s="7"/>
      <c r="D142" s="2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2.75" customHeight="1" x14ac:dyDescent="0.2">
      <c r="A143" s="7"/>
      <c r="B143" s="7"/>
      <c r="C143" s="7"/>
      <c r="D143" s="2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2.75" customHeight="1" x14ac:dyDescent="0.2">
      <c r="A144" s="7"/>
      <c r="B144" s="7"/>
      <c r="C144" s="7"/>
      <c r="D144" s="2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2.75" customHeight="1" x14ac:dyDescent="0.2">
      <c r="A145" s="7"/>
      <c r="B145" s="7"/>
      <c r="C145" s="7"/>
      <c r="D145" s="2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2.75" customHeight="1" x14ac:dyDescent="0.2">
      <c r="A146" s="7"/>
      <c r="B146" s="7"/>
      <c r="C146" s="7"/>
      <c r="D146" s="2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2.75" customHeight="1" x14ac:dyDescent="0.2">
      <c r="A147" s="7"/>
      <c r="B147" s="7"/>
      <c r="C147" s="7"/>
      <c r="D147" s="2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2.75" customHeight="1" x14ac:dyDescent="0.2">
      <c r="A148" s="7"/>
      <c r="B148" s="7"/>
      <c r="C148" s="7"/>
      <c r="D148" s="2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2.75" customHeight="1" x14ac:dyDescent="0.2">
      <c r="A149" s="7"/>
      <c r="B149" s="7"/>
      <c r="C149" s="7"/>
      <c r="D149" s="2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2.75" customHeight="1" x14ac:dyDescent="0.2">
      <c r="A150" s="7"/>
      <c r="B150" s="7"/>
      <c r="C150" s="7"/>
      <c r="D150" s="2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2.75" customHeight="1" x14ac:dyDescent="0.2">
      <c r="A151" s="7"/>
      <c r="B151" s="7"/>
      <c r="C151" s="7"/>
      <c r="D151" s="2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2.75" customHeight="1" x14ac:dyDescent="0.2">
      <c r="A152" s="7"/>
      <c r="B152" s="7"/>
      <c r="C152" s="7"/>
      <c r="D152" s="2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2.75" customHeight="1" x14ac:dyDescent="0.2">
      <c r="A153" s="7"/>
      <c r="B153" s="7"/>
      <c r="C153" s="7"/>
      <c r="D153" s="2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2.75" customHeight="1" x14ac:dyDescent="0.2">
      <c r="A154" s="7"/>
      <c r="B154" s="7"/>
      <c r="C154" s="7"/>
      <c r="D154" s="2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2.75" customHeight="1" x14ac:dyDescent="0.2">
      <c r="A155" s="7"/>
      <c r="B155" s="7"/>
      <c r="C155" s="7"/>
      <c r="D155" s="2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2.75" customHeight="1" x14ac:dyDescent="0.2">
      <c r="A156" s="7"/>
      <c r="B156" s="7"/>
      <c r="C156" s="7"/>
      <c r="D156" s="2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2.75" customHeight="1" x14ac:dyDescent="0.2">
      <c r="A157" s="7"/>
      <c r="B157" s="7"/>
      <c r="C157" s="7"/>
      <c r="D157" s="2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2.75" customHeight="1" x14ac:dyDescent="0.2">
      <c r="A158" s="7"/>
      <c r="B158" s="7"/>
      <c r="C158" s="7"/>
      <c r="D158" s="2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2.75" customHeight="1" x14ac:dyDescent="0.2">
      <c r="A159" s="7"/>
      <c r="B159" s="7"/>
      <c r="C159" s="7"/>
      <c r="D159" s="2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2.75" customHeight="1" x14ac:dyDescent="0.2">
      <c r="A160" s="7"/>
      <c r="B160" s="7"/>
      <c r="C160" s="7"/>
      <c r="D160" s="2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2.75" customHeight="1" x14ac:dyDescent="0.2">
      <c r="A161" s="7"/>
      <c r="B161" s="7"/>
      <c r="C161" s="7"/>
      <c r="D161" s="2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2.75" customHeight="1" x14ac:dyDescent="0.2">
      <c r="A162" s="7"/>
      <c r="B162" s="7"/>
      <c r="C162" s="7"/>
      <c r="D162" s="2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2.75" customHeight="1" x14ac:dyDescent="0.2">
      <c r="A163" s="7"/>
      <c r="B163" s="7"/>
      <c r="C163" s="7"/>
      <c r="D163" s="2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2.75" customHeight="1" x14ac:dyDescent="0.2">
      <c r="A164" s="7"/>
      <c r="B164" s="7"/>
      <c r="C164" s="7"/>
      <c r="D164" s="2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2.75" customHeight="1" x14ac:dyDescent="0.2">
      <c r="A165" s="7"/>
      <c r="B165" s="7"/>
      <c r="C165" s="7"/>
      <c r="D165" s="2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2.75" customHeight="1" x14ac:dyDescent="0.2">
      <c r="A166" s="7"/>
      <c r="B166" s="7"/>
      <c r="C166" s="7"/>
      <c r="D166" s="2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2.75" customHeight="1" x14ac:dyDescent="0.2">
      <c r="A167" s="7"/>
      <c r="B167" s="7"/>
      <c r="C167" s="7"/>
      <c r="D167" s="2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2.75" customHeight="1" x14ac:dyDescent="0.2">
      <c r="A168" s="7"/>
      <c r="B168" s="7"/>
      <c r="C168" s="7"/>
      <c r="D168" s="2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2.75" customHeight="1" x14ac:dyDescent="0.2">
      <c r="A169" s="7"/>
      <c r="B169" s="7"/>
      <c r="C169" s="7"/>
      <c r="D169" s="2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2.75" customHeight="1" x14ac:dyDescent="0.2">
      <c r="A170" s="7"/>
      <c r="B170" s="7"/>
      <c r="C170" s="7"/>
      <c r="D170" s="2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2.75" customHeight="1" x14ac:dyDescent="0.2">
      <c r="A171" s="7"/>
      <c r="B171" s="7"/>
      <c r="C171" s="7"/>
      <c r="D171" s="2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2.75" customHeight="1" x14ac:dyDescent="0.2">
      <c r="A172" s="7"/>
      <c r="B172" s="7"/>
      <c r="C172" s="7"/>
      <c r="D172" s="2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2.75" customHeight="1" x14ac:dyDescent="0.2">
      <c r="A173" s="7"/>
      <c r="B173" s="7"/>
      <c r="C173" s="7"/>
      <c r="D173" s="2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2.75" customHeight="1" x14ac:dyDescent="0.2">
      <c r="A174" s="7"/>
      <c r="B174" s="7"/>
      <c r="C174" s="7"/>
      <c r="D174" s="2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2.75" customHeight="1" x14ac:dyDescent="0.2">
      <c r="A175" s="7"/>
      <c r="B175" s="7"/>
      <c r="C175" s="7"/>
      <c r="D175" s="2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2.75" customHeight="1" x14ac:dyDescent="0.2">
      <c r="A176" s="7"/>
      <c r="B176" s="7"/>
      <c r="C176" s="7"/>
      <c r="D176" s="2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2.75" customHeight="1" x14ac:dyDescent="0.2">
      <c r="A177" s="7"/>
      <c r="B177" s="7"/>
      <c r="C177" s="7"/>
      <c r="D177" s="2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2.75" customHeight="1" x14ac:dyDescent="0.2">
      <c r="A178" s="7"/>
      <c r="B178" s="7"/>
      <c r="C178" s="7"/>
      <c r="D178" s="2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2.75" customHeight="1" x14ac:dyDescent="0.2">
      <c r="A179" s="7"/>
      <c r="B179" s="7"/>
      <c r="C179" s="7"/>
      <c r="D179" s="2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2.75" customHeight="1" x14ac:dyDescent="0.2">
      <c r="A180" s="7"/>
      <c r="B180" s="7"/>
      <c r="C180" s="7"/>
      <c r="D180" s="2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2.75" customHeight="1" x14ac:dyDescent="0.2">
      <c r="A181" s="7"/>
      <c r="B181" s="7"/>
      <c r="C181" s="7"/>
      <c r="D181" s="2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2.75" customHeight="1" x14ac:dyDescent="0.2">
      <c r="A182" s="7"/>
      <c r="B182" s="7"/>
      <c r="C182" s="7"/>
      <c r="D182" s="2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2.75" customHeight="1" x14ac:dyDescent="0.2">
      <c r="A183" s="7"/>
      <c r="B183" s="7"/>
      <c r="C183" s="7"/>
      <c r="D183" s="2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2.75" customHeight="1" x14ac:dyDescent="0.2">
      <c r="A184" s="7"/>
      <c r="B184" s="7"/>
      <c r="C184" s="7"/>
      <c r="D184" s="2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2.75" customHeight="1" x14ac:dyDescent="0.2">
      <c r="A185" s="7"/>
      <c r="B185" s="7"/>
      <c r="C185" s="7"/>
      <c r="D185" s="2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2.75" customHeight="1" x14ac:dyDescent="0.2">
      <c r="A186" s="7"/>
      <c r="B186" s="7"/>
      <c r="C186" s="7"/>
      <c r="D186" s="2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2.75" customHeight="1" x14ac:dyDescent="0.2">
      <c r="A187" s="7"/>
      <c r="B187" s="7"/>
      <c r="C187" s="7"/>
      <c r="D187" s="2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2.75" customHeight="1" x14ac:dyDescent="0.2">
      <c r="A188" s="7"/>
      <c r="B188" s="7"/>
      <c r="C188" s="7"/>
      <c r="D188" s="2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2.75" customHeight="1" x14ac:dyDescent="0.2">
      <c r="A189" s="7"/>
      <c r="B189" s="7"/>
      <c r="C189" s="7"/>
      <c r="D189" s="2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2.75" customHeight="1" x14ac:dyDescent="0.2">
      <c r="A190" s="7"/>
      <c r="B190" s="7"/>
      <c r="C190" s="7"/>
      <c r="D190" s="2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2.75" customHeight="1" x14ac:dyDescent="0.2">
      <c r="A191" s="7"/>
      <c r="B191" s="7"/>
      <c r="C191" s="7"/>
      <c r="D191" s="2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2.75" customHeight="1" x14ac:dyDescent="0.2">
      <c r="A192" s="7"/>
      <c r="B192" s="7"/>
      <c r="C192" s="7"/>
      <c r="D192" s="2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2.75" customHeight="1" x14ac:dyDescent="0.2">
      <c r="A193" s="7"/>
      <c r="B193" s="7"/>
      <c r="C193" s="7"/>
      <c r="D193" s="2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2.75" customHeight="1" x14ac:dyDescent="0.2">
      <c r="A194" s="7"/>
      <c r="B194" s="7"/>
      <c r="C194" s="7"/>
      <c r="D194" s="2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2.75" customHeight="1" x14ac:dyDescent="0.2">
      <c r="A195" s="7"/>
      <c r="B195" s="7"/>
      <c r="C195" s="7"/>
      <c r="D195" s="2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2.75" customHeight="1" x14ac:dyDescent="0.2">
      <c r="A196" s="7"/>
      <c r="B196" s="7"/>
      <c r="C196" s="7"/>
      <c r="D196" s="2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2.75" customHeight="1" x14ac:dyDescent="0.2">
      <c r="A197" s="7"/>
      <c r="B197" s="7"/>
      <c r="C197" s="7"/>
      <c r="D197" s="2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2.75" customHeight="1" x14ac:dyDescent="0.2">
      <c r="A198" s="7"/>
      <c r="B198" s="7"/>
      <c r="C198" s="7"/>
      <c r="D198" s="2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2.75" customHeight="1" x14ac:dyDescent="0.2">
      <c r="A199" s="7"/>
      <c r="B199" s="7"/>
      <c r="C199" s="7"/>
      <c r="D199" s="2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2.75" customHeight="1" x14ac:dyDescent="0.2">
      <c r="A200" s="7"/>
      <c r="B200" s="7"/>
      <c r="C200" s="7"/>
      <c r="D200" s="2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2.75" customHeight="1" x14ac:dyDescent="0.2">
      <c r="A201" s="7"/>
      <c r="B201" s="7"/>
      <c r="C201" s="7"/>
      <c r="D201" s="2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2.75" customHeight="1" x14ac:dyDescent="0.2">
      <c r="A202" s="7"/>
      <c r="B202" s="7"/>
      <c r="C202" s="7"/>
      <c r="D202" s="2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2.75" customHeight="1" x14ac:dyDescent="0.2">
      <c r="A203" s="7"/>
      <c r="B203" s="7"/>
      <c r="C203" s="7"/>
      <c r="D203" s="2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2.75" customHeight="1" x14ac:dyDescent="0.2">
      <c r="A204" s="7"/>
      <c r="B204" s="7"/>
      <c r="C204" s="7"/>
      <c r="D204" s="2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2.75" customHeight="1" x14ac:dyDescent="0.2">
      <c r="A205" s="7"/>
      <c r="B205" s="7"/>
      <c r="C205" s="7"/>
      <c r="D205" s="2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2.75" customHeight="1" x14ac:dyDescent="0.2">
      <c r="A206" s="7"/>
      <c r="B206" s="7"/>
      <c r="C206" s="7"/>
      <c r="D206" s="2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2.75" customHeight="1" x14ac:dyDescent="0.2">
      <c r="A207" s="7"/>
      <c r="B207" s="7"/>
      <c r="C207" s="7"/>
      <c r="D207" s="2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2.75" customHeight="1" x14ac:dyDescent="0.2">
      <c r="A208" s="7"/>
      <c r="B208" s="7"/>
      <c r="C208" s="7"/>
      <c r="D208" s="2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2.75" customHeight="1" x14ac:dyDescent="0.2">
      <c r="A209" s="7"/>
      <c r="B209" s="7"/>
      <c r="C209" s="7"/>
      <c r="D209" s="2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2.75" customHeight="1" x14ac:dyDescent="0.2">
      <c r="A210" s="7"/>
      <c r="B210" s="7"/>
      <c r="C210" s="7"/>
      <c r="D210" s="2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2.75" customHeight="1" x14ac:dyDescent="0.2">
      <c r="A211" s="7"/>
      <c r="B211" s="7"/>
      <c r="C211" s="7"/>
      <c r="D211" s="2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2.75" customHeight="1" x14ac:dyDescent="0.2">
      <c r="A212" s="7"/>
      <c r="B212" s="7"/>
      <c r="C212" s="7"/>
      <c r="D212" s="2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2.75" customHeight="1" x14ac:dyDescent="0.2">
      <c r="A213" s="7"/>
      <c r="B213" s="7"/>
      <c r="C213" s="7"/>
      <c r="D213" s="2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2.75" customHeight="1" x14ac:dyDescent="0.2">
      <c r="A214" s="7"/>
      <c r="B214" s="7"/>
      <c r="C214" s="7"/>
      <c r="D214" s="2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2.75" customHeight="1" x14ac:dyDescent="0.2">
      <c r="A215" s="7"/>
      <c r="B215" s="7"/>
      <c r="C215" s="7"/>
      <c r="D215" s="2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2.75" customHeight="1" x14ac:dyDescent="0.2">
      <c r="A216" s="7"/>
      <c r="B216" s="7"/>
      <c r="C216" s="7"/>
      <c r="D216" s="2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2.75" customHeight="1" x14ac:dyDescent="0.2">
      <c r="A217" s="7"/>
      <c r="B217" s="7"/>
      <c r="C217" s="7"/>
      <c r="D217" s="2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2.75" customHeight="1" x14ac:dyDescent="0.2">
      <c r="A218" s="7"/>
      <c r="B218" s="7"/>
      <c r="C218" s="7"/>
      <c r="D218" s="2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2.75" customHeight="1" x14ac:dyDescent="0.2">
      <c r="A219" s="7"/>
      <c r="B219" s="7"/>
      <c r="C219" s="7"/>
      <c r="D219" s="2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2.75" customHeight="1" x14ac:dyDescent="0.2">
      <c r="A220" s="7"/>
      <c r="B220" s="7"/>
      <c r="C220" s="7"/>
      <c r="D220" s="2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 customHeight="1" x14ac:dyDescent="0.2"/>
    <row r="222" spans="1:33" ht="15.75" customHeight="1" x14ac:dyDescent="0.2"/>
    <row r="223" spans="1:33" ht="15.75" customHeight="1" x14ac:dyDescent="0.2"/>
    <row r="224" spans="1:3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G2:P3"/>
    <mergeCell ref="B17:D19"/>
  </mergeCells>
  <hyperlinks>
    <hyperlink ref="B17" location="Menu!A1" display="VOLVER AL MENÚ" xr:uid="{00000000-0004-0000-0500-000000000000}"/>
  </hyperlinks>
  <pageMargins left="0.9055118110236221" right="0.31496062992125984" top="0.74803149606299213" bottom="0.74803149606299213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8F84B"/>
  </sheetPr>
  <dimension ref="A1:Z997"/>
  <sheetViews>
    <sheetView showGridLines="0" workbookViewId="0">
      <selection activeCell="H31" sqref="H31"/>
    </sheetView>
  </sheetViews>
  <sheetFormatPr baseColWidth="10" defaultColWidth="14.42578125" defaultRowHeight="15" customHeight="1" x14ac:dyDescent="0.2"/>
  <cols>
    <col min="1" max="1" width="4.85546875" customWidth="1"/>
    <col min="2" max="2" width="6" customWidth="1"/>
    <col min="3" max="3" width="31.7109375" customWidth="1"/>
    <col min="4" max="4" width="13.7109375" customWidth="1"/>
    <col min="5" max="5" width="4.5703125" customWidth="1"/>
    <col min="6" max="6" width="2.5703125" customWidth="1"/>
    <col min="7" max="24" width="10.7109375" customWidth="1"/>
  </cols>
  <sheetData>
    <row r="1" spans="1:26" ht="12.75" customHeight="1" x14ac:dyDescent="0.2">
      <c r="A1" s="7"/>
      <c r="B1" s="7"/>
      <c r="C1" s="7"/>
      <c r="D1" s="52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75" customHeight="1" x14ac:dyDescent="0.2">
      <c r="A2" s="7"/>
      <c r="B2" s="36"/>
      <c r="C2" s="53" t="s">
        <v>25</v>
      </c>
      <c r="D2" s="54"/>
      <c r="E2" s="38"/>
      <c r="F2" s="7"/>
      <c r="G2" s="126"/>
      <c r="H2" s="106"/>
      <c r="I2" s="10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0.25" x14ac:dyDescent="0.3">
      <c r="A3" s="7"/>
      <c r="B3" s="32"/>
      <c r="C3" s="33" t="s">
        <v>46</v>
      </c>
      <c r="D3" s="34"/>
      <c r="E3" s="35"/>
      <c r="F3" s="7"/>
      <c r="G3" s="106"/>
      <c r="H3" s="106"/>
      <c r="I3" s="10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32"/>
      <c r="C4" s="55"/>
      <c r="D4" s="56"/>
      <c r="E4" s="3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2">
      <c r="A5" s="7"/>
      <c r="B5" s="36"/>
      <c r="C5" s="37"/>
      <c r="D5" s="54"/>
      <c r="E5" s="3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2">
      <c r="A6" s="7"/>
      <c r="B6" s="132" t="s">
        <v>47</v>
      </c>
      <c r="C6" s="133"/>
      <c r="D6" s="133"/>
      <c r="E6" s="134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7"/>
      <c r="B7" s="32"/>
      <c r="C7" s="7"/>
      <c r="D7" s="52"/>
      <c r="E7" s="35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">
      <c r="A8" s="7"/>
      <c r="B8" s="32"/>
      <c r="C8" s="57" t="s">
        <v>31</v>
      </c>
      <c r="D8" s="58"/>
      <c r="E8" s="35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">
      <c r="A9" s="7"/>
      <c r="B9" s="32"/>
      <c r="C9" s="57" t="s">
        <v>33</v>
      </c>
      <c r="D9" s="58"/>
      <c r="E9" s="35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">
      <c r="A10" s="7"/>
      <c r="B10" s="32"/>
      <c r="C10" s="57" t="s">
        <v>48</v>
      </c>
      <c r="D10" s="58"/>
      <c r="E10" s="35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">
      <c r="A11" s="7"/>
      <c r="B11" s="32"/>
      <c r="C11" s="57" t="s">
        <v>49</v>
      </c>
      <c r="D11" s="58"/>
      <c r="E11" s="35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">
      <c r="A12" s="7"/>
      <c r="B12" s="32"/>
      <c r="C12" s="7"/>
      <c r="D12" s="52"/>
      <c r="E12" s="35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">
      <c r="A13" s="7"/>
      <c r="B13" s="32"/>
      <c r="C13" s="7"/>
      <c r="D13" s="52"/>
      <c r="E13" s="35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">
      <c r="A14" s="7"/>
      <c r="B14" s="42"/>
      <c r="C14" s="43"/>
      <c r="D14" s="59"/>
      <c r="E14" s="45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32"/>
      <c r="C15" s="7"/>
      <c r="D15" s="52"/>
      <c r="E15" s="35"/>
      <c r="F15" s="7"/>
      <c r="G15" s="7"/>
      <c r="H15" s="7"/>
      <c r="I15" s="60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">
      <c r="A16" s="7"/>
      <c r="B16" s="132"/>
      <c r="C16" s="133"/>
      <c r="D16" s="133"/>
      <c r="E16" s="134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">
      <c r="A17" s="7"/>
      <c r="B17" s="61"/>
      <c r="C17" s="62"/>
      <c r="D17" s="63"/>
      <c r="E17" s="64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">
      <c r="A18" s="7"/>
      <c r="B18" s="32"/>
      <c r="C18" s="57" t="s">
        <v>50</v>
      </c>
      <c r="D18" s="65"/>
      <c r="E18" s="3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">
      <c r="A19" s="7"/>
      <c r="B19" s="32"/>
      <c r="C19" s="57" t="s">
        <v>51</v>
      </c>
      <c r="D19" s="65"/>
      <c r="E19" s="35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">
      <c r="A20" s="7"/>
      <c r="B20" s="32"/>
      <c r="C20" s="57" t="s">
        <v>52</v>
      </c>
      <c r="D20" s="65"/>
      <c r="E20" s="35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">
      <c r="A21" s="7"/>
      <c r="B21" s="32"/>
      <c r="C21" s="66" t="s">
        <v>53</v>
      </c>
      <c r="D21" s="67"/>
      <c r="E21" s="35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">
      <c r="A22" s="7"/>
      <c r="B22" s="42"/>
      <c r="C22" s="68"/>
      <c r="D22" s="59"/>
      <c r="E22" s="45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">
      <c r="A23" s="7"/>
      <c r="B23" s="32"/>
      <c r="C23" s="69"/>
      <c r="D23" s="52"/>
      <c r="E23" s="35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">
      <c r="A24" s="7"/>
      <c r="B24" s="132" t="s">
        <v>54</v>
      </c>
      <c r="C24" s="133"/>
      <c r="D24" s="133"/>
      <c r="E24" s="134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">
      <c r="A25" s="7"/>
      <c r="B25" s="32"/>
      <c r="C25" s="7"/>
      <c r="D25" s="52"/>
      <c r="E25" s="35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7"/>
      <c r="B26" s="32"/>
      <c r="C26" s="57" t="s">
        <v>55</v>
      </c>
      <c r="D26" s="65"/>
      <c r="E26" s="35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7"/>
      <c r="B27" s="32"/>
      <c r="C27" s="57" t="s">
        <v>56</v>
      </c>
      <c r="D27" s="65"/>
      <c r="E27" s="35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">
      <c r="A28" s="7"/>
      <c r="B28" s="32"/>
      <c r="C28" s="57" t="s">
        <v>57</v>
      </c>
      <c r="D28" s="65"/>
      <c r="E28" s="35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7"/>
      <c r="B29" s="32"/>
      <c r="C29" s="7"/>
      <c r="D29" s="52"/>
      <c r="E29" s="35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7"/>
      <c r="B30" s="135" t="s">
        <v>58</v>
      </c>
      <c r="C30" s="57" t="s">
        <v>59</v>
      </c>
      <c r="D30" s="65"/>
      <c r="E30" s="35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7"/>
      <c r="B31" s="136"/>
      <c r="C31" s="57" t="s">
        <v>60</v>
      </c>
      <c r="D31" s="65"/>
      <c r="E31" s="35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7"/>
      <c r="B32" s="136"/>
      <c r="C32" s="57" t="s">
        <v>61</v>
      </c>
      <c r="D32" s="65"/>
      <c r="E32" s="35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7"/>
      <c r="B33" s="136"/>
      <c r="C33" s="57" t="s">
        <v>62</v>
      </c>
      <c r="D33" s="65"/>
      <c r="E33" s="3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136"/>
      <c r="C34" s="57" t="s">
        <v>63</v>
      </c>
      <c r="D34" s="65"/>
      <c r="E34" s="3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137"/>
      <c r="C35" s="66" t="s">
        <v>64</v>
      </c>
      <c r="D35" s="67"/>
      <c r="E35" s="3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70"/>
      <c r="C36" s="7"/>
      <c r="D36" s="52"/>
      <c r="E36" s="3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7"/>
      <c r="B37" s="32"/>
      <c r="C37" s="71" t="s">
        <v>65</v>
      </c>
      <c r="D37" s="72"/>
      <c r="E37" s="3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7"/>
      <c r="B38" s="32"/>
      <c r="C38" s="71" t="s">
        <v>66</v>
      </c>
      <c r="D38" s="73"/>
      <c r="E38" s="3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42"/>
      <c r="C39" s="43"/>
      <c r="D39" s="59"/>
      <c r="E39" s="4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7"/>
      <c r="C40" s="7"/>
      <c r="D40" s="52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7"/>
      <c r="C41" s="7"/>
      <c r="D41" s="52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119" t="s">
        <v>10</v>
      </c>
      <c r="C42" s="120"/>
      <c r="D42" s="121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127"/>
      <c r="C43" s="106"/>
      <c r="D43" s="128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127"/>
      <c r="C44" s="106"/>
      <c r="D44" s="128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122"/>
      <c r="C45" s="123"/>
      <c r="D45" s="124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7"/>
      <c r="C46" s="7"/>
      <c r="D46" s="52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7"/>
      <c r="C47" s="7"/>
      <c r="D47" s="5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7"/>
      <c r="C48" s="7"/>
      <c r="D48" s="52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7"/>
      <c r="C49" s="7"/>
      <c r="D49" s="52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7"/>
      <c r="C50" s="7"/>
      <c r="D50" s="52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7"/>
      <c r="C51" s="7"/>
      <c r="D51" s="52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7"/>
      <c r="C52" s="7"/>
      <c r="D52" s="52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7"/>
      <c r="C53" s="7"/>
      <c r="D53" s="52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7"/>
      <c r="C54" s="7"/>
      <c r="D54" s="52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7"/>
      <c r="C55" s="7"/>
      <c r="D55" s="52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7"/>
      <c r="C56" s="7"/>
      <c r="D56" s="52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7"/>
      <c r="C57" s="7"/>
      <c r="D57" s="52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7"/>
      <c r="C58" s="7"/>
      <c r="D58" s="52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7"/>
      <c r="C59" s="7"/>
      <c r="D59" s="5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7"/>
      <c r="C60" s="7"/>
      <c r="D60" s="5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7"/>
      <c r="C61" s="7"/>
      <c r="D61" s="52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7"/>
      <c r="C62" s="7"/>
      <c r="D62" s="52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7"/>
      <c r="C63" s="7"/>
      <c r="D63" s="52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7"/>
      <c r="C64" s="7"/>
      <c r="D64" s="52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7"/>
      <c r="C65" s="7"/>
      <c r="D65" s="52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7"/>
      <c r="C66" s="7"/>
      <c r="D66" s="52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7"/>
      <c r="C67" s="7"/>
      <c r="D67" s="52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7"/>
      <c r="C68" s="7"/>
      <c r="D68" s="52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7"/>
      <c r="C69" s="7"/>
      <c r="D69" s="52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7"/>
      <c r="C70" s="7"/>
      <c r="D70" s="52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7"/>
      <c r="C71" s="7"/>
      <c r="D71" s="52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7"/>
      <c r="C72" s="7"/>
      <c r="D72" s="52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7"/>
      <c r="C73" s="7"/>
      <c r="D73" s="52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7"/>
      <c r="C74" s="7"/>
      <c r="D74" s="52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7"/>
      <c r="C75" s="7"/>
      <c r="D75" s="52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7"/>
      <c r="C76" s="7"/>
      <c r="D76" s="52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7"/>
      <c r="C77" s="7"/>
      <c r="D77" s="52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7"/>
      <c r="C78" s="7"/>
      <c r="D78" s="52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7"/>
      <c r="C79" s="7"/>
      <c r="D79" s="52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7"/>
      <c r="C80" s="7"/>
      <c r="D80" s="52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7"/>
      <c r="C81" s="7"/>
      <c r="D81" s="52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7"/>
      <c r="C82" s="7"/>
      <c r="D82" s="52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7"/>
      <c r="C83" s="7"/>
      <c r="D83" s="52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7"/>
      <c r="C84" s="7"/>
      <c r="D84" s="52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7"/>
      <c r="C85" s="7"/>
      <c r="D85" s="52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7"/>
      <c r="C86" s="7"/>
      <c r="D86" s="52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7"/>
      <c r="C87" s="7"/>
      <c r="D87" s="52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7"/>
      <c r="C88" s="7"/>
      <c r="D88" s="52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7"/>
      <c r="C89" s="7"/>
      <c r="D89" s="52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7"/>
      <c r="C90" s="7"/>
      <c r="D90" s="52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7"/>
      <c r="C91" s="7"/>
      <c r="D91" s="52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7"/>
      <c r="C92" s="7"/>
      <c r="D92" s="52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7"/>
      <c r="C93" s="7"/>
      <c r="D93" s="52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7"/>
      <c r="C94" s="7"/>
      <c r="D94" s="52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7"/>
      <c r="C95" s="7"/>
      <c r="D95" s="52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7"/>
      <c r="C96" s="7"/>
      <c r="D96" s="52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7"/>
      <c r="C97" s="7"/>
      <c r="D97" s="52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7"/>
      <c r="C98" s="7"/>
      <c r="D98" s="52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7"/>
      <c r="C99" s="7"/>
      <c r="D99" s="52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7"/>
      <c r="C100" s="7"/>
      <c r="D100" s="52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7"/>
      <c r="C101" s="7"/>
      <c r="D101" s="52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7"/>
      <c r="C102" s="7"/>
      <c r="D102" s="52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7"/>
      <c r="C103" s="7"/>
      <c r="D103" s="52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7"/>
      <c r="C104" s="7"/>
      <c r="D104" s="52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7"/>
      <c r="C105" s="7"/>
      <c r="D105" s="52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7"/>
      <c r="C106" s="7"/>
      <c r="D106" s="52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7"/>
      <c r="C107" s="7"/>
      <c r="D107" s="52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7"/>
      <c r="C108" s="7"/>
      <c r="D108" s="52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7"/>
      <c r="C109" s="7"/>
      <c r="D109" s="52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7"/>
      <c r="C110" s="7"/>
      <c r="D110" s="52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7"/>
      <c r="C111" s="7"/>
      <c r="D111" s="52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7"/>
      <c r="C112" s="7"/>
      <c r="D112" s="52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7"/>
      <c r="C113" s="7"/>
      <c r="D113" s="52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7"/>
      <c r="C114" s="7"/>
      <c r="D114" s="52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7"/>
      <c r="C115" s="7"/>
      <c r="D115" s="52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7"/>
      <c r="C116" s="7"/>
      <c r="D116" s="52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7"/>
      <c r="C117" s="7"/>
      <c r="D117" s="52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7"/>
      <c r="C118" s="7"/>
      <c r="D118" s="52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7"/>
      <c r="C119" s="7"/>
      <c r="D119" s="52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7"/>
      <c r="C120" s="7"/>
      <c r="D120" s="52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7"/>
      <c r="C121" s="7"/>
      <c r="D121" s="52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7"/>
      <c r="C122" s="7"/>
      <c r="D122" s="52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7"/>
      <c r="C123" s="7"/>
      <c r="D123" s="52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7"/>
      <c r="C124" s="7"/>
      <c r="D124" s="52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7"/>
      <c r="C125" s="7"/>
      <c r="D125" s="52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7"/>
      <c r="C126" s="7"/>
      <c r="D126" s="52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7"/>
      <c r="C127" s="7"/>
      <c r="D127" s="52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7"/>
      <c r="C128" s="7"/>
      <c r="D128" s="52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7"/>
      <c r="C129" s="7"/>
      <c r="D129" s="52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7"/>
      <c r="C130" s="7"/>
      <c r="D130" s="52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7"/>
      <c r="C131" s="7"/>
      <c r="D131" s="52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7"/>
      <c r="C132" s="7"/>
      <c r="D132" s="52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7"/>
      <c r="C133" s="7"/>
      <c r="D133" s="52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7"/>
      <c r="C134" s="7"/>
      <c r="D134" s="52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7"/>
      <c r="C135" s="7"/>
      <c r="D135" s="52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7"/>
      <c r="C136" s="7"/>
      <c r="D136" s="52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7"/>
      <c r="C137" s="7"/>
      <c r="D137" s="52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7"/>
      <c r="C138" s="7"/>
      <c r="D138" s="52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7"/>
      <c r="C139" s="7"/>
      <c r="D139" s="52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7"/>
      <c r="C140" s="7"/>
      <c r="D140" s="52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7"/>
      <c r="C141" s="7"/>
      <c r="D141" s="52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7"/>
      <c r="C142" s="7"/>
      <c r="D142" s="52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7"/>
      <c r="C143" s="7"/>
      <c r="D143" s="52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7"/>
      <c r="C144" s="7"/>
      <c r="D144" s="52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7"/>
      <c r="C145" s="7"/>
      <c r="D145" s="52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7"/>
      <c r="C146" s="7"/>
      <c r="D146" s="52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7"/>
      <c r="C147" s="7"/>
      <c r="D147" s="52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7"/>
      <c r="C148" s="7"/>
      <c r="D148" s="52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7"/>
      <c r="C149" s="7"/>
      <c r="D149" s="52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7"/>
      <c r="C150" s="7"/>
      <c r="D150" s="52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7"/>
      <c r="C151" s="7"/>
      <c r="D151" s="52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7"/>
      <c r="C152" s="7"/>
      <c r="D152" s="52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7"/>
      <c r="C153" s="7"/>
      <c r="D153" s="52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7"/>
      <c r="C154" s="7"/>
      <c r="D154" s="52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7"/>
      <c r="C155" s="7"/>
      <c r="D155" s="52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7"/>
      <c r="C156" s="7"/>
      <c r="D156" s="52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7"/>
      <c r="C157" s="7"/>
      <c r="D157" s="52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7"/>
      <c r="C158" s="7"/>
      <c r="D158" s="52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7"/>
      <c r="C159" s="7"/>
      <c r="D159" s="52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7"/>
      <c r="C160" s="7"/>
      <c r="D160" s="52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7"/>
      <c r="C161" s="7"/>
      <c r="D161" s="52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7"/>
      <c r="C162" s="7"/>
      <c r="D162" s="52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7"/>
      <c r="C163" s="7"/>
      <c r="D163" s="52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7"/>
      <c r="C164" s="7"/>
      <c r="D164" s="52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7"/>
      <c r="C165" s="7"/>
      <c r="D165" s="52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7"/>
      <c r="C166" s="7"/>
      <c r="D166" s="52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7"/>
      <c r="C167" s="7"/>
      <c r="D167" s="52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7"/>
      <c r="C168" s="7"/>
      <c r="D168" s="52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7"/>
      <c r="C169" s="7"/>
      <c r="D169" s="52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7"/>
      <c r="C170" s="7"/>
      <c r="D170" s="52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7"/>
      <c r="C171" s="7"/>
      <c r="D171" s="52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7"/>
      <c r="C172" s="7"/>
      <c r="D172" s="52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7"/>
      <c r="C173" s="7"/>
      <c r="D173" s="52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7"/>
      <c r="C174" s="7"/>
      <c r="D174" s="52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7"/>
      <c r="C175" s="7"/>
      <c r="D175" s="52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7"/>
      <c r="C176" s="7"/>
      <c r="D176" s="52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7"/>
      <c r="C177" s="7"/>
      <c r="D177" s="52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7"/>
      <c r="C178" s="7"/>
      <c r="D178" s="52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7"/>
      <c r="C179" s="7"/>
      <c r="D179" s="52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7"/>
      <c r="C180" s="7"/>
      <c r="D180" s="52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7"/>
      <c r="C181" s="7"/>
      <c r="D181" s="52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7"/>
      <c r="C182" s="7"/>
      <c r="D182" s="52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7"/>
      <c r="C183" s="7"/>
      <c r="D183" s="52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7"/>
      <c r="C184" s="7"/>
      <c r="D184" s="52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7"/>
      <c r="C185" s="7"/>
      <c r="D185" s="52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7"/>
      <c r="C186" s="7"/>
      <c r="D186" s="52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7"/>
      <c r="C187" s="7"/>
      <c r="D187" s="52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7"/>
      <c r="C188" s="7"/>
      <c r="D188" s="52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7"/>
      <c r="C189" s="7"/>
      <c r="D189" s="52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7"/>
      <c r="C190" s="7"/>
      <c r="D190" s="52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7"/>
      <c r="C191" s="7"/>
      <c r="D191" s="52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7"/>
      <c r="C192" s="7"/>
      <c r="D192" s="52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7"/>
      <c r="C193" s="7"/>
      <c r="D193" s="52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7"/>
      <c r="C194" s="7"/>
      <c r="D194" s="52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7"/>
      <c r="C195" s="7"/>
      <c r="D195" s="52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7"/>
      <c r="C196" s="7"/>
      <c r="D196" s="52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7"/>
      <c r="C197" s="7"/>
      <c r="D197" s="52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7"/>
      <c r="C198" s="7"/>
      <c r="D198" s="52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7"/>
      <c r="C199" s="7"/>
      <c r="D199" s="52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7"/>
      <c r="C200" s="7"/>
      <c r="D200" s="52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7"/>
      <c r="C201" s="7"/>
      <c r="D201" s="52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7"/>
      <c r="C202" s="7"/>
      <c r="D202" s="52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7"/>
      <c r="C203" s="7"/>
      <c r="D203" s="52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7"/>
      <c r="C204" s="7"/>
      <c r="D204" s="52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7"/>
      <c r="C205" s="7"/>
      <c r="D205" s="52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7"/>
      <c r="C206" s="7"/>
      <c r="D206" s="52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7"/>
      <c r="C207" s="7"/>
      <c r="D207" s="52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7"/>
      <c r="C208" s="7"/>
      <c r="D208" s="52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7"/>
      <c r="C209" s="7"/>
      <c r="D209" s="52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7"/>
      <c r="C210" s="7"/>
      <c r="D210" s="52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7"/>
      <c r="C211" s="7"/>
      <c r="D211" s="52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7"/>
      <c r="C212" s="7"/>
      <c r="D212" s="52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7"/>
      <c r="C213" s="7"/>
      <c r="D213" s="52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7"/>
      <c r="C214" s="7"/>
      <c r="D214" s="52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7"/>
      <c r="C215" s="7"/>
      <c r="D215" s="52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7"/>
      <c r="C216" s="7"/>
      <c r="D216" s="52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7"/>
      <c r="C217" s="7"/>
      <c r="D217" s="52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7"/>
      <c r="C218" s="7"/>
      <c r="D218" s="52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7"/>
      <c r="C219" s="7"/>
      <c r="D219" s="52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7"/>
      <c r="C220" s="7"/>
      <c r="D220" s="52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7"/>
      <c r="B221" s="7"/>
      <c r="C221" s="7"/>
      <c r="D221" s="52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7"/>
      <c r="B222" s="7"/>
      <c r="C222" s="7"/>
      <c r="D222" s="52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7"/>
      <c r="B223" s="7"/>
      <c r="C223" s="7"/>
      <c r="D223" s="52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">
      <c r="A224" s="7"/>
      <c r="B224" s="7"/>
      <c r="C224" s="7"/>
      <c r="D224" s="52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">
      <c r="A225" s="7"/>
      <c r="B225" s="7"/>
      <c r="C225" s="7"/>
      <c r="D225" s="52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">
      <c r="A226" s="7"/>
      <c r="B226" s="7"/>
      <c r="C226" s="7"/>
      <c r="D226" s="52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">
      <c r="A227" s="7"/>
      <c r="B227" s="7"/>
      <c r="C227" s="7"/>
      <c r="D227" s="52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">
      <c r="A228" s="7"/>
      <c r="B228" s="7"/>
      <c r="C228" s="7"/>
      <c r="D228" s="52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">
      <c r="A229" s="7"/>
      <c r="B229" s="7"/>
      <c r="C229" s="7"/>
      <c r="D229" s="52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">
      <c r="A230" s="7"/>
      <c r="B230" s="7"/>
      <c r="C230" s="7"/>
      <c r="D230" s="52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">
      <c r="A231" s="7"/>
      <c r="B231" s="7"/>
      <c r="C231" s="7"/>
      <c r="D231" s="52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">
      <c r="A232" s="7"/>
      <c r="B232" s="7"/>
      <c r="C232" s="7"/>
      <c r="D232" s="52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">
      <c r="A233" s="7"/>
      <c r="B233" s="7"/>
      <c r="C233" s="7"/>
      <c r="D233" s="52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">
      <c r="A234" s="7"/>
      <c r="B234" s="7"/>
      <c r="C234" s="7"/>
      <c r="D234" s="52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">
      <c r="A235" s="7"/>
      <c r="B235" s="7"/>
      <c r="C235" s="7"/>
      <c r="D235" s="52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">
      <c r="A236" s="7"/>
      <c r="B236" s="7"/>
      <c r="C236" s="7"/>
      <c r="D236" s="52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">
      <c r="A237" s="7"/>
      <c r="B237" s="7"/>
      <c r="C237" s="7"/>
      <c r="D237" s="52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6">
    <mergeCell ref="B42:D45"/>
    <mergeCell ref="G2:I3"/>
    <mergeCell ref="B6:E6"/>
    <mergeCell ref="B16:E16"/>
    <mergeCell ref="B24:E24"/>
    <mergeCell ref="B30:B35"/>
  </mergeCells>
  <hyperlinks>
    <hyperlink ref="B42" location="Menu!A1" display="VOLVER AL MENÚ" xr:uid="{00000000-0004-0000-06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8F84B"/>
  </sheetPr>
  <dimension ref="A1:AA995"/>
  <sheetViews>
    <sheetView showGridLines="0" workbookViewId="0">
      <selection activeCell="C12" sqref="C12"/>
    </sheetView>
  </sheetViews>
  <sheetFormatPr baseColWidth="10" defaultColWidth="14.42578125" defaultRowHeight="15" customHeight="1" x14ac:dyDescent="0.2"/>
  <cols>
    <col min="1" max="1" width="3.85546875" customWidth="1"/>
    <col min="2" max="7" width="14.5703125" customWidth="1"/>
    <col min="8" max="8" width="3.140625" customWidth="1"/>
    <col min="9" max="10" width="11.42578125" customWidth="1"/>
    <col min="11" max="27" width="10.7109375" customWidth="1"/>
  </cols>
  <sheetData>
    <row r="1" spans="1:27" ht="12.7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12.75" customHeight="1" x14ac:dyDescent="0.2">
      <c r="A2" s="7"/>
      <c r="B2" s="7"/>
      <c r="C2" s="7"/>
      <c r="D2" s="7"/>
      <c r="E2" s="7"/>
      <c r="F2" s="7"/>
      <c r="G2" s="7"/>
      <c r="H2" s="7"/>
      <c r="I2" s="126"/>
      <c r="J2" s="106"/>
      <c r="K2" s="106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1:27" ht="12.75" customHeight="1" x14ac:dyDescent="0.2">
      <c r="A3" s="7"/>
      <c r="B3" s="138" t="s">
        <v>67</v>
      </c>
      <c r="C3" s="106"/>
      <c r="D3" s="106"/>
      <c r="E3" s="106"/>
      <c r="F3" s="106"/>
      <c r="G3" s="106"/>
      <c r="H3" s="7"/>
      <c r="I3" s="106"/>
      <c r="J3" s="106"/>
      <c r="K3" s="106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spans="1:27" ht="12.75" customHeight="1" x14ac:dyDescent="0.2">
      <c r="A4" s="7"/>
      <c r="B4" s="106"/>
      <c r="C4" s="106"/>
      <c r="D4" s="106"/>
      <c r="E4" s="106"/>
      <c r="F4" s="106"/>
      <c r="G4" s="10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spans="1:27" ht="12.75" customHeight="1" x14ac:dyDescent="0.2">
      <c r="A5" s="7"/>
      <c r="B5" s="74"/>
      <c r="C5" s="74"/>
      <c r="D5" s="74"/>
      <c r="E5" s="74"/>
      <c r="F5" s="74"/>
      <c r="G5" s="74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spans="1:27" ht="12.75" customHeight="1" x14ac:dyDescent="0.2">
      <c r="A6" s="7"/>
      <c r="B6" s="75" t="s">
        <v>68</v>
      </c>
      <c r="C6" s="75" t="s">
        <v>69</v>
      </c>
      <c r="D6" s="75" t="s">
        <v>70</v>
      </c>
      <c r="E6" s="75" t="s">
        <v>71</v>
      </c>
      <c r="F6" s="75" t="s">
        <v>72</v>
      </c>
      <c r="G6" s="75" t="s">
        <v>73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spans="1:27" ht="15" customHeight="1" x14ac:dyDescent="0.2">
      <c r="A7" s="7"/>
      <c r="B7" s="76" t="s">
        <v>74</v>
      </c>
      <c r="C7" s="77"/>
      <c r="D7" s="77"/>
      <c r="E7" s="77"/>
      <c r="F7" s="77"/>
      <c r="G7" s="7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5" customHeight="1" x14ac:dyDescent="0.2">
      <c r="A8" s="7"/>
      <c r="B8" s="76" t="s">
        <v>75</v>
      </c>
      <c r="C8" s="77"/>
      <c r="D8" s="77"/>
      <c r="E8" s="77"/>
      <c r="F8" s="77"/>
      <c r="G8" s="7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spans="1:27" ht="15" customHeight="1" x14ac:dyDescent="0.2">
      <c r="A9" s="7"/>
      <c r="B9" s="76" t="s">
        <v>76</v>
      </c>
      <c r="C9" s="77"/>
      <c r="D9" s="77"/>
      <c r="E9" s="77"/>
      <c r="F9" s="77"/>
      <c r="G9" s="7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ht="12.75" customHeight="1" x14ac:dyDescent="0.2">
      <c r="A10" s="7"/>
      <c r="B10" s="74"/>
      <c r="C10" s="74"/>
      <c r="D10" s="74"/>
      <c r="E10" s="74"/>
      <c r="F10" s="74"/>
      <c r="G10" s="74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12.75" customHeight="1" x14ac:dyDescent="0.2">
      <c r="A11" s="7"/>
      <c r="B11" s="74"/>
      <c r="C11" s="74"/>
      <c r="D11" s="74"/>
      <c r="E11" s="74"/>
      <c r="F11" s="74"/>
      <c r="G11" s="74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spans="1:27" ht="21.75" x14ac:dyDescent="0.3">
      <c r="A12" s="7"/>
      <c r="B12" s="78" t="s">
        <v>77</v>
      </c>
      <c r="C12" s="7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spans="1:27" ht="12.75" customHeight="1" x14ac:dyDescent="0.2">
      <c r="A13" s="7"/>
      <c r="B13" s="74"/>
      <c r="C13" s="74"/>
      <c r="D13" s="74"/>
      <c r="E13" s="74"/>
      <c r="F13" s="74"/>
      <c r="G13" s="7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spans="1:27" ht="12.75" customHeight="1" x14ac:dyDescent="0.2">
      <c r="A14" s="7"/>
      <c r="B14" s="74"/>
      <c r="C14" s="74"/>
      <c r="D14" s="74"/>
      <c r="E14" s="74"/>
      <c r="F14" s="74"/>
      <c r="G14" s="74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spans="1:27" ht="12.75" customHeight="1" x14ac:dyDescent="0.2">
      <c r="A15" s="7"/>
      <c r="B15" s="74"/>
      <c r="C15" s="74"/>
      <c r="D15" s="74"/>
      <c r="E15" s="74"/>
      <c r="F15" s="74"/>
      <c r="G15" s="74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spans="1:27" ht="12.75" customHeight="1" x14ac:dyDescent="0.2">
      <c r="A16" s="7"/>
      <c r="B16" s="119" t="s">
        <v>10</v>
      </c>
      <c r="C16" s="120"/>
      <c r="D16" s="121"/>
      <c r="E16" s="74"/>
      <c r="F16" s="74"/>
      <c r="G16" s="74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spans="1:27" ht="12.75" customHeight="1" x14ac:dyDescent="0.25">
      <c r="A17" s="7"/>
      <c r="B17" s="127"/>
      <c r="C17" s="106"/>
      <c r="D17" s="128"/>
      <c r="E17" s="80"/>
      <c r="F17" s="80"/>
      <c r="G17" s="8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spans="1:27" ht="12.75" customHeight="1" x14ac:dyDescent="0.2">
      <c r="A18" s="7"/>
      <c r="B18" s="127"/>
      <c r="C18" s="106"/>
      <c r="D18" s="12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spans="1:27" ht="12.75" customHeight="1" x14ac:dyDescent="0.2">
      <c r="A19" s="7"/>
      <c r="B19" s="122"/>
      <c r="C19" s="123"/>
      <c r="D19" s="12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spans="1:27" ht="12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spans="1:27" ht="12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spans="1:27" ht="12.75" customHeight="1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spans="1:27" ht="12.75" customHeight="1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spans="1:27" ht="12.75" customHeight="1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spans="1:27" ht="12.75" customHeight="1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spans="1:27" ht="12.75" customHeight="1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spans="1:27" ht="12.75" customHeight="1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spans="1:27" ht="12.75" customHeight="1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spans="1:27" ht="12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spans="1:27" ht="12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spans="1:27" ht="12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2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2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2.75" customHeight="1" x14ac:dyDescent="0.2">
      <c r="A35" s="7"/>
      <c r="B35" s="7"/>
      <c r="C35" s="7"/>
      <c r="D35" s="7"/>
      <c r="E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 x14ac:dyDescent="0.2"/>
    <row r="217" spans="1:27" ht="15.75" customHeight="1" x14ac:dyDescent="0.2"/>
    <row r="218" spans="1:27" ht="15.75" customHeight="1" x14ac:dyDescent="0.2"/>
    <row r="219" spans="1:27" ht="15.75" customHeight="1" x14ac:dyDescent="0.2"/>
    <row r="220" spans="1:27" ht="15.75" customHeight="1" x14ac:dyDescent="0.2"/>
    <row r="221" spans="1:27" ht="15.75" customHeight="1" x14ac:dyDescent="0.2"/>
    <row r="222" spans="1:27" ht="15.75" customHeight="1" x14ac:dyDescent="0.2"/>
    <row r="223" spans="1:27" ht="15.75" customHeight="1" x14ac:dyDescent="0.2"/>
    <row r="224" spans="1:27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mergeCells count="3">
    <mergeCell ref="I2:K3"/>
    <mergeCell ref="B3:G4"/>
    <mergeCell ref="B16:D19"/>
  </mergeCells>
  <hyperlinks>
    <hyperlink ref="B16" location="Menu!A1" display="VOLVER AL MENÚ" xr:uid="{00000000-0004-0000-0700-000000000000}"/>
  </hyperlink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outlinePr summaryBelow="0" summaryRight="0"/>
  </sheetPr>
  <dimension ref="A1:B985"/>
  <sheetViews>
    <sheetView workbookViewId="0"/>
  </sheetViews>
  <sheetFormatPr baseColWidth="10" defaultColWidth="14.42578125" defaultRowHeight="15" customHeight="1" x14ac:dyDescent="0.2"/>
  <cols>
    <col min="1" max="1" width="8.7109375" customWidth="1"/>
    <col min="2" max="2" width="9" customWidth="1"/>
  </cols>
  <sheetData>
    <row r="1" spans="1:2" x14ac:dyDescent="0.2">
      <c r="A1" s="81" t="s">
        <v>78</v>
      </c>
      <c r="B1" s="81" t="s">
        <v>79</v>
      </c>
    </row>
    <row r="2" spans="1:2" x14ac:dyDescent="0.2">
      <c r="A2" s="82">
        <v>0</v>
      </c>
      <c r="B2" s="82" t="s">
        <v>80</v>
      </c>
    </row>
    <row r="3" spans="1:2" x14ac:dyDescent="0.2">
      <c r="A3" s="82">
        <v>1</v>
      </c>
      <c r="B3" s="82" t="s">
        <v>81</v>
      </c>
    </row>
    <row r="4" spans="1:2" x14ac:dyDescent="0.2">
      <c r="A4" s="82">
        <v>2</v>
      </c>
      <c r="B4" s="82" t="s">
        <v>82</v>
      </c>
    </row>
    <row r="5" spans="1:2" x14ac:dyDescent="0.2">
      <c r="A5" s="82">
        <v>3</v>
      </c>
      <c r="B5" s="83" t="s">
        <v>83</v>
      </c>
    </row>
    <row r="6" spans="1:2" x14ac:dyDescent="0.2">
      <c r="A6" s="82">
        <v>4</v>
      </c>
      <c r="B6" s="82" t="s">
        <v>84</v>
      </c>
    </row>
    <row r="7" spans="1:2" x14ac:dyDescent="0.2">
      <c r="A7" s="82">
        <v>5</v>
      </c>
      <c r="B7" s="82" t="s">
        <v>85</v>
      </c>
    </row>
    <row r="8" spans="1:2" x14ac:dyDescent="0.2">
      <c r="A8" s="82"/>
      <c r="B8" s="82"/>
    </row>
    <row r="9" spans="1:2" x14ac:dyDescent="0.2">
      <c r="A9" s="82"/>
      <c r="B9" s="82"/>
    </row>
    <row r="10" spans="1:2" x14ac:dyDescent="0.2">
      <c r="A10" s="82"/>
      <c r="B10" s="82"/>
    </row>
    <row r="11" spans="1:2" x14ac:dyDescent="0.2">
      <c r="A11" s="82"/>
      <c r="B11" s="82"/>
    </row>
    <row r="12" spans="1:2" x14ac:dyDescent="0.2">
      <c r="A12" s="82"/>
      <c r="B12" s="82"/>
    </row>
    <row r="13" spans="1:2" x14ac:dyDescent="0.2">
      <c r="A13" s="82"/>
      <c r="B13" s="82"/>
    </row>
    <row r="14" spans="1:2" x14ac:dyDescent="0.2">
      <c r="A14" s="82"/>
      <c r="B14" s="82"/>
    </row>
    <row r="15" spans="1:2" x14ac:dyDescent="0.2">
      <c r="A15" s="82"/>
      <c r="B15" s="82"/>
    </row>
    <row r="16" spans="1:2" x14ac:dyDescent="0.2">
      <c r="A16" s="82"/>
      <c r="B16" s="82"/>
    </row>
    <row r="17" spans="1:2" x14ac:dyDescent="0.2">
      <c r="A17" s="82"/>
      <c r="B17" s="82"/>
    </row>
    <row r="18" spans="1:2" x14ac:dyDescent="0.2">
      <c r="A18" s="82"/>
      <c r="B18" s="82"/>
    </row>
    <row r="19" spans="1:2" x14ac:dyDescent="0.2">
      <c r="A19" s="82"/>
      <c r="B19" s="82"/>
    </row>
    <row r="20" spans="1:2" x14ac:dyDescent="0.2">
      <c r="A20" s="82"/>
      <c r="B20" s="82"/>
    </row>
    <row r="21" spans="1:2" x14ac:dyDescent="0.2">
      <c r="A21" s="82"/>
      <c r="B21" s="82"/>
    </row>
    <row r="22" spans="1:2" x14ac:dyDescent="0.2">
      <c r="A22" s="82"/>
      <c r="B22" s="82"/>
    </row>
    <row r="23" spans="1:2" x14ac:dyDescent="0.2">
      <c r="A23" s="82"/>
      <c r="B23" s="82"/>
    </row>
    <row r="24" spans="1:2" x14ac:dyDescent="0.2">
      <c r="A24" s="82"/>
      <c r="B24" s="82"/>
    </row>
    <row r="25" spans="1:2" x14ac:dyDescent="0.2">
      <c r="A25" s="82"/>
      <c r="B25" s="82"/>
    </row>
    <row r="26" spans="1:2" x14ac:dyDescent="0.2">
      <c r="A26" s="82"/>
      <c r="B26" s="82"/>
    </row>
    <row r="27" spans="1:2" x14ac:dyDescent="0.2">
      <c r="A27" s="82"/>
      <c r="B27" s="82"/>
    </row>
    <row r="28" spans="1:2" x14ac:dyDescent="0.2">
      <c r="A28" s="82"/>
      <c r="B28" s="82"/>
    </row>
    <row r="29" spans="1:2" x14ac:dyDescent="0.2">
      <c r="A29" s="82"/>
      <c r="B29" s="82"/>
    </row>
    <row r="30" spans="1:2" x14ac:dyDescent="0.2">
      <c r="A30" s="82"/>
      <c r="B30" s="82"/>
    </row>
    <row r="31" spans="1:2" x14ac:dyDescent="0.2">
      <c r="A31" s="82"/>
      <c r="B31" s="82"/>
    </row>
    <row r="32" spans="1:2" x14ac:dyDescent="0.2">
      <c r="A32" s="82"/>
      <c r="B32" s="82"/>
    </row>
    <row r="33" spans="1:2" x14ac:dyDescent="0.2">
      <c r="A33" s="82"/>
      <c r="B33" s="82"/>
    </row>
    <row r="34" spans="1:2" x14ac:dyDescent="0.2">
      <c r="A34" s="82"/>
      <c r="B34" s="82"/>
    </row>
    <row r="35" spans="1:2" x14ac:dyDescent="0.2">
      <c r="A35" s="82"/>
      <c r="B35" s="82"/>
    </row>
    <row r="36" spans="1:2" x14ac:dyDescent="0.2">
      <c r="A36" s="82"/>
      <c r="B36" s="82"/>
    </row>
    <row r="37" spans="1:2" x14ac:dyDescent="0.2">
      <c r="A37" s="82"/>
      <c r="B37" s="82"/>
    </row>
    <row r="38" spans="1:2" x14ac:dyDescent="0.2">
      <c r="A38" s="82"/>
      <c r="B38" s="82"/>
    </row>
    <row r="39" spans="1:2" x14ac:dyDescent="0.2">
      <c r="A39" s="82"/>
      <c r="B39" s="82"/>
    </row>
    <row r="40" spans="1:2" x14ac:dyDescent="0.2">
      <c r="A40" s="82"/>
      <c r="B40" s="82"/>
    </row>
    <row r="41" spans="1:2" x14ac:dyDescent="0.2">
      <c r="A41" s="82"/>
      <c r="B41" s="82"/>
    </row>
    <row r="42" spans="1:2" x14ac:dyDescent="0.2">
      <c r="A42" s="82"/>
      <c r="B42" s="82"/>
    </row>
    <row r="43" spans="1:2" x14ac:dyDescent="0.2">
      <c r="A43" s="82"/>
      <c r="B43" s="82"/>
    </row>
    <row r="44" spans="1:2" x14ac:dyDescent="0.2">
      <c r="A44" s="82"/>
      <c r="B44" s="82"/>
    </row>
    <row r="45" spans="1:2" x14ac:dyDescent="0.2">
      <c r="A45" s="82"/>
      <c r="B45" s="82"/>
    </row>
    <row r="46" spans="1:2" x14ac:dyDescent="0.2">
      <c r="A46" s="82"/>
      <c r="B46" s="82"/>
    </row>
    <row r="47" spans="1:2" x14ac:dyDescent="0.2">
      <c r="A47" s="82"/>
      <c r="B47" s="82"/>
    </row>
    <row r="48" spans="1:2" x14ac:dyDescent="0.2">
      <c r="A48" s="82"/>
      <c r="B48" s="82"/>
    </row>
    <row r="49" spans="1:2" x14ac:dyDescent="0.2">
      <c r="A49" s="82"/>
      <c r="B49" s="82"/>
    </row>
    <row r="50" spans="1:2" x14ac:dyDescent="0.2">
      <c r="A50" s="82"/>
      <c r="B50" s="82"/>
    </row>
    <row r="51" spans="1:2" x14ac:dyDescent="0.2">
      <c r="A51" s="82"/>
      <c r="B51" s="82"/>
    </row>
    <row r="52" spans="1:2" x14ac:dyDescent="0.2">
      <c r="A52" s="82"/>
      <c r="B52" s="82"/>
    </row>
    <row r="53" spans="1:2" x14ac:dyDescent="0.2">
      <c r="A53" s="82"/>
      <c r="B53" s="82"/>
    </row>
    <row r="54" spans="1:2" x14ac:dyDescent="0.2">
      <c r="A54" s="82"/>
      <c r="B54" s="82"/>
    </row>
    <row r="55" spans="1:2" x14ac:dyDescent="0.2">
      <c r="A55" s="82"/>
      <c r="B55" s="82"/>
    </row>
    <row r="56" spans="1:2" x14ac:dyDescent="0.2">
      <c r="A56" s="82"/>
      <c r="B56" s="82"/>
    </row>
    <row r="57" spans="1:2" x14ac:dyDescent="0.2">
      <c r="A57" s="82"/>
      <c r="B57" s="82"/>
    </row>
    <row r="58" spans="1:2" x14ac:dyDescent="0.2">
      <c r="A58" s="82"/>
      <c r="B58" s="82"/>
    </row>
    <row r="59" spans="1:2" x14ac:dyDescent="0.2">
      <c r="A59" s="82"/>
      <c r="B59" s="82"/>
    </row>
    <row r="60" spans="1:2" x14ac:dyDescent="0.2">
      <c r="A60" s="82"/>
      <c r="B60" s="82"/>
    </row>
    <row r="61" spans="1:2" x14ac:dyDescent="0.2">
      <c r="A61" s="82"/>
      <c r="B61" s="82"/>
    </row>
    <row r="62" spans="1:2" x14ac:dyDescent="0.2">
      <c r="A62" s="82"/>
      <c r="B62" s="82"/>
    </row>
    <row r="63" spans="1:2" x14ac:dyDescent="0.2">
      <c r="A63" s="82"/>
      <c r="B63" s="82"/>
    </row>
    <row r="64" spans="1:2" x14ac:dyDescent="0.2">
      <c r="A64" s="82"/>
      <c r="B64" s="82"/>
    </row>
    <row r="65" spans="1:2" x14ac:dyDescent="0.2">
      <c r="A65" s="82"/>
      <c r="B65" s="82"/>
    </row>
    <row r="66" spans="1:2" x14ac:dyDescent="0.2">
      <c r="A66" s="82"/>
      <c r="B66" s="82"/>
    </row>
    <row r="67" spans="1:2" x14ac:dyDescent="0.2">
      <c r="A67" s="82"/>
      <c r="B67" s="82"/>
    </row>
    <row r="68" spans="1:2" x14ac:dyDescent="0.2">
      <c r="A68" s="82"/>
      <c r="B68" s="82"/>
    </row>
    <row r="69" spans="1:2" x14ac:dyDescent="0.2">
      <c r="A69" s="82"/>
      <c r="B69" s="82"/>
    </row>
    <row r="70" spans="1:2" x14ac:dyDescent="0.2">
      <c r="A70" s="82"/>
      <c r="B70" s="82"/>
    </row>
    <row r="71" spans="1:2" x14ac:dyDescent="0.2">
      <c r="A71" s="82"/>
      <c r="B71" s="82"/>
    </row>
    <row r="72" spans="1:2" x14ac:dyDescent="0.2">
      <c r="A72" s="82"/>
      <c r="B72" s="82"/>
    </row>
    <row r="73" spans="1:2" x14ac:dyDescent="0.2">
      <c r="A73" s="82"/>
      <c r="B73" s="82"/>
    </row>
    <row r="74" spans="1:2" x14ac:dyDescent="0.2">
      <c r="A74" s="82"/>
      <c r="B74" s="82"/>
    </row>
    <row r="75" spans="1:2" x14ac:dyDescent="0.2">
      <c r="A75" s="82"/>
      <c r="B75" s="82"/>
    </row>
    <row r="76" spans="1:2" x14ac:dyDescent="0.2">
      <c r="A76" s="82"/>
      <c r="B76" s="82"/>
    </row>
    <row r="77" spans="1:2" x14ac:dyDescent="0.2">
      <c r="A77" s="82"/>
      <c r="B77" s="82"/>
    </row>
    <row r="78" spans="1:2" x14ac:dyDescent="0.2">
      <c r="A78" s="82"/>
      <c r="B78" s="82"/>
    </row>
    <row r="79" spans="1:2" x14ac:dyDescent="0.2">
      <c r="A79" s="82"/>
      <c r="B79" s="82"/>
    </row>
    <row r="80" spans="1:2" x14ac:dyDescent="0.2">
      <c r="A80" s="82"/>
      <c r="B80" s="82"/>
    </row>
    <row r="81" spans="1:2" x14ac:dyDescent="0.2">
      <c r="A81" s="82"/>
      <c r="B81" s="82"/>
    </row>
    <row r="82" spans="1:2" x14ac:dyDescent="0.2">
      <c r="A82" s="82"/>
      <c r="B82" s="82"/>
    </row>
    <row r="83" spans="1:2" x14ac:dyDescent="0.2">
      <c r="A83" s="82"/>
      <c r="B83" s="82"/>
    </row>
    <row r="84" spans="1:2" x14ac:dyDescent="0.2">
      <c r="A84" s="82"/>
      <c r="B84" s="82"/>
    </row>
    <row r="85" spans="1:2" x14ac:dyDescent="0.2">
      <c r="A85" s="82"/>
      <c r="B85" s="82"/>
    </row>
    <row r="86" spans="1:2" x14ac:dyDescent="0.2">
      <c r="A86" s="82"/>
      <c r="B86" s="82"/>
    </row>
    <row r="87" spans="1:2" x14ac:dyDescent="0.2">
      <c r="A87" s="82"/>
      <c r="B87" s="82"/>
    </row>
    <row r="88" spans="1:2" x14ac:dyDescent="0.2">
      <c r="A88" s="82"/>
      <c r="B88" s="82"/>
    </row>
    <row r="89" spans="1:2" x14ac:dyDescent="0.2">
      <c r="A89" s="82"/>
      <c r="B89" s="82"/>
    </row>
    <row r="90" spans="1:2" x14ac:dyDescent="0.2">
      <c r="A90" s="82"/>
      <c r="B90" s="82"/>
    </row>
    <row r="91" spans="1:2" x14ac:dyDescent="0.2">
      <c r="A91" s="82"/>
      <c r="B91" s="82"/>
    </row>
    <row r="92" spans="1:2" x14ac:dyDescent="0.2">
      <c r="A92" s="82"/>
      <c r="B92" s="82"/>
    </row>
    <row r="93" spans="1:2" x14ac:dyDescent="0.2">
      <c r="A93" s="82"/>
      <c r="B93" s="82"/>
    </row>
    <row r="94" spans="1:2" x14ac:dyDescent="0.2">
      <c r="A94" s="82"/>
      <c r="B94" s="82"/>
    </row>
    <row r="95" spans="1:2" x14ac:dyDescent="0.2">
      <c r="A95" s="82"/>
      <c r="B95" s="82"/>
    </row>
    <row r="96" spans="1:2" x14ac:dyDescent="0.2">
      <c r="A96" s="82"/>
      <c r="B96" s="82"/>
    </row>
    <row r="97" spans="1:2" x14ac:dyDescent="0.2">
      <c r="A97" s="82"/>
      <c r="B97" s="82"/>
    </row>
    <row r="98" spans="1:2" x14ac:dyDescent="0.2">
      <c r="A98" s="82"/>
      <c r="B98" s="82"/>
    </row>
    <row r="99" spans="1:2" x14ac:dyDescent="0.2">
      <c r="A99" s="82"/>
      <c r="B99" s="82"/>
    </row>
    <row r="100" spans="1:2" x14ac:dyDescent="0.2">
      <c r="A100" s="82"/>
      <c r="B100" s="82"/>
    </row>
    <row r="101" spans="1:2" x14ac:dyDescent="0.2">
      <c r="A101" s="82"/>
      <c r="B101" s="82"/>
    </row>
    <row r="102" spans="1:2" x14ac:dyDescent="0.2">
      <c r="A102" s="82"/>
      <c r="B102" s="82"/>
    </row>
    <row r="103" spans="1:2" x14ac:dyDescent="0.2">
      <c r="A103" s="82"/>
      <c r="B103" s="82"/>
    </row>
    <row r="104" spans="1:2" x14ac:dyDescent="0.2">
      <c r="A104" s="82"/>
      <c r="B104" s="82"/>
    </row>
    <row r="105" spans="1:2" x14ac:dyDescent="0.2">
      <c r="A105" s="82"/>
      <c r="B105" s="82"/>
    </row>
    <row r="106" spans="1:2" x14ac:dyDescent="0.2">
      <c r="A106" s="82"/>
      <c r="B106" s="82"/>
    </row>
    <row r="107" spans="1:2" x14ac:dyDescent="0.2">
      <c r="A107" s="82"/>
      <c r="B107" s="82"/>
    </row>
    <row r="108" spans="1:2" x14ac:dyDescent="0.2">
      <c r="A108" s="82"/>
      <c r="B108" s="82"/>
    </row>
    <row r="109" spans="1:2" x14ac:dyDescent="0.2">
      <c r="A109" s="82"/>
      <c r="B109" s="82"/>
    </row>
    <row r="110" spans="1:2" x14ac:dyDescent="0.2">
      <c r="A110" s="82"/>
      <c r="B110" s="82"/>
    </row>
    <row r="111" spans="1:2" x14ac:dyDescent="0.2">
      <c r="A111" s="82"/>
      <c r="B111" s="82"/>
    </row>
    <row r="112" spans="1:2" x14ac:dyDescent="0.2">
      <c r="A112" s="82"/>
      <c r="B112" s="82"/>
    </row>
    <row r="113" spans="1:2" x14ac:dyDescent="0.2">
      <c r="A113" s="82"/>
      <c r="B113" s="82"/>
    </row>
    <row r="114" spans="1:2" x14ac:dyDescent="0.2">
      <c r="A114" s="82"/>
      <c r="B114" s="82"/>
    </row>
    <row r="115" spans="1:2" x14ac:dyDescent="0.2">
      <c r="A115" s="82"/>
      <c r="B115" s="82"/>
    </row>
    <row r="116" spans="1:2" x14ac:dyDescent="0.2">
      <c r="A116" s="82"/>
      <c r="B116" s="82"/>
    </row>
    <row r="117" spans="1:2" x14ac:dyDescent="0.2">
      <c r="A117" s="82"/>
      <c r="B117" s="82"/>
    </row>
    <row r="118" spans="1:2" x14ac:dyDescent="0.2">
      <c r="A118" s="82"/>
      <c r="B118" s="82"/>
    </row>
    <row r="119" spans="1:2" x14ac:dyDescent="0.2">
      <c r="A119" s="82"/>
      <c r="B119" s="82"/>
    </row>
    <row r="120" spans="1:2" x14ac:dyDescent="0.2">
      <c r="A120" s="82"/>
      <c r="B120" s="82"/>
    </row>
    <row r="121" spans="1:2" x14ac:dyDescent="0.2">
      <c r="A121" s="82"/>
      <c r="B121" s="82"/>
    </row>
    <row r="122" spans="1:2" x14ac:dyDescent="0.2">
      <c r="A122" s="82"/>
      <c r="B122" s="82"/>
    </row>
    <row r="123" spans="1:2" x14ac:dyDescent="0.2">
      <c r="A123" s="82"/>
      <c r="B123" s="82"/>
    </row>
    <row r="124" spans="1:2" x14ac:dyDescent="0.2">
      <c r="A124" s="82"/>
      <c r="B124" s="82"/>
    </row>
    <row r="125" spans="1:2" x14ac:dyDescent="0.2">
      <c r="A125" s="82"/>
      <c r="B125" s="82"/>
    </row>
    <row r="126" spans="1:2" x14ac:dyDescent="0.2">
      <c r="A126" s="82"/>
      <c r="B126" s="82"/>
    </row>
    <row r="127" spans="1:2" x14ac:dyDescent="0.2">
      <c r="A127" s="82"/>
      <c r="B127" s="82"/>
    </row>
    <row r="128" spans="1:2" x14ac:dyDescent="0.2">
      <c r="A128" s="82"/>
      <c r="B128" s="82"/>
    </row>
    <row r="129" spans="1:2" x14ac:dyDescent="0.2">
      <c r="A129" s="82"/>
      <c r="B129" s="82"/>
    </row>
    <row r="130" spans="1:2" x14ac:dyDescent="0.2">
      <c r="A130" s="82"/>
      <c r="B130" s="82"/>
    </row>
    <row r="131" spans="1:2" x14ac:dyDescent="0.2">
      <c r="A131" s="82"/>
      <c r="B131" s="82"/>
    </row>
    <row r="132" spans="1:2" x14ac:dyDescent="0.2">
      <c r="A132" s="82"/>
      <c r="B132" s="82"/>
    </row>
    <row r="133" spans="1:2" x14ac:dyDescent="0.2">
      <c r="A133" s="82"/>
      <c r="B133" s="82"/>
    </row>
    <row r="134" spans="1:2" x14ac:dyDescent="0.2">
      <c r="A134" s="82"/>
      <c r="B134" s="82"/>
    </row>
    <row r="135" spans="1:2" x14ac:dyDescent="0.2">
      <c r="A135" s="82"/>
      <c r="B135" s="82"/>
    </row>
    <row r="136" spans="1:2" x14ac:dyDescent="0.2">
      <c r="A136" s="82"/>
      <c r="B136" s="82"/>
    </row>
    <row r="137" spans="1:2" x14ac:dyDescent="0.2">
      <c r="A137" s="82"/>
      <c r="B137" s="82"/>
    </row>
    <row r="138" spans="1:2" x14ac:dyDescent="0.2">
      <c r="A138" s="82"/>
      <c r="B138" s="82"/>
    </row>
    <row r="139" spans="1:2" x14ac:dyDescent="0.2">
      <c r="A139" s="82"/>
      <c r="B139" s="82"/>
    </row>
    <row r="140" spans="1:2" x14ac:dyDescent="0.2">
      <c r="A140" s="82"/>
      <c r="B140" s="82"/>
    </row>
    <row r="141" spans="1:2" x14ac:dyDescent="0.2">
      <c r="A141" s="82"/>
      <c r="B141" s="82"/>
    </row>
    <row r="142" spans="1:2" x14ac:dyDescent="0.2">
      <c r="A142" s="82"/>
      <c r="B142" s="82"/>
    </row>
    <row r="143" spans="1:2" x14ac:dyDescent="0.2">
      <c r="A143" s="82"/>
      <c r="B143" s="82"/>
    </row>
    <row r="144" spans="1:2" x14ac:dyDescent="0.2">
      <c r="A144" s="82"/>
      <c r="B144" s="82"/>
    </row>
    <row r="145" spans="1:2" x14ac:dyDescent="0.2">
      <c r="A145" s="82"/>
      <c r="B145" s="82"/>
    </row>
    <row r="146" spans="1:2" x14ac:dyDescent="0.2">
      <c r="A146" s="82"/>
      <c r="B146" s="82"/>
    </row>
    <row r="147" spans="1:2" x14ac:dyDescent="0.2">
      <c r="A147" s="82"/>
      <c r="B147" s="82"/>
    </row>
    <row r="148" spans="1:2" x14ac:dyDescent="0.2">
      <c r="A148" s="82"/>
      <c r="B148" s="82"/>
    </row>
    <row r="149" spans="1:2" x14ac:dyDescent="0.2">
      <c r="A149" s="82"/>
      <c r="B149" s="82"/>
    </row>
    <row r="150" spans="1:2" x14ac:dyDescent="0.2">
      <c r="A150" s="82"/>
      <c r="B150" s="82"/>
    </row>
    <row r="151" spans="1:2" x14ac:dyDescent="0.2">
      <c r="A151" s="82"/>
      <c r="B151" s="82"/>
    </row>
    <row r="152" spans="1:2" x14ac:dyDescent="0.2">
      <c r="A152" s="82"/>
      <c r="B152" s="82"/>
    </row>
    <row r="153" spans="1:2" x14ac:dyDescent="0.2">
      <c r="A153" s="82"/>
      <c r="B153" s="82"/>
    </row>
    <row r="154" spans="1:2" x14ac:dyDescent="0.2">
      <c r="A154" s="82"/>
      <c r="B154" s="82"/>
    </row>
    <row r="155" spans="1:2" x14ac:dyDescent="0.2">
      <c r="A155" s="82"/>
      <c r="B155" s="82"/>
    </row>
    <row r="156" spans="1:2" x14ac:dyDescent="0.2">
      <c r="A156" s="82"/>
      <c r="B156" s="82"/>
    </row>
    <row r="157" spans="1:2" x14ac:dyDescent="0.2">
      <c r="A157" s="82"/>
      <c r="B157" s="82"/>
    </row>
    <row r="158" spans="1:2" x14ac:dyDescent="0.2">
      <c r="A158" s="82"/>
      <c r="B158" s="82"/>
    </row>
    <row r="159" spans="1:2" x14ac:dyDescent="0.2">
      <c r="A159" s="82"/>
      <c r="B159" s="82"/>
    </row>
    <row r="160" spans="1:2" x14ac:dyDescent="0.2">
      <c r="A160" s="82"/>
      <c r="B160" s="82"/>
    </row>
    <row r="161" spans="1:2" x14ac:dyDescent="0.2">
      <c r="A161" s="82"/>
      <c r="B161" s="82"/>
    </row>
    <row r="162" spans="1:2" x14ac:dyDescent="0.2">
      <c r="A162" s="82"/>
      <c r="B162" s="82"/>
    </row>
    <row r="163" spans="1:2" x14ac:dyDescent="0.2">
      <c r="A163" s="82"/>
      <c r="B163" s="82"/>
    </row>
    <row r="164" spans="1:2" x14ac:dyDescent="0.2">
      <c r="A164" s="82"/>
      <c r="B164" s="82"/>
    </row>
    <row r="165" spans="1:2" x14ac:dyDescent="0.2">
      <c r="A165" s="82"/>
      <c r="B165" s="82"/>
    </row>
    <row r="166" spans="1:2" x14ac:dyDescent="0.2">
      <c r="A166" s="82"/>
      <c r="B166" s="82"/>
    </row>
    <row r="167" spans="1:2" x14ac:dyDescent="0.2">
      <c r="A167" s="82"/>
      <c r="B167" s="82"/>
    </row>
    <row r="168" spans="1:2" x14ac:dyDescent="0.2">
      <c r="A168" s="82"/>
      <c r="B168" s="82"/>
    </row>
    <row r="169" spans="1:2" x14ac:dyDescent="0.2">
      <c r="A169" s="82"/>
      <c r="B169" s="82"/>
    </row>
    <row r="170" spans="1:2" x14ac:dyDescent="0.2">
      <c r="A170" s="82"/>
      <c r="B170" s="82"/>
    </row>
    <row r="171" spans="1:2" x14ac:dyDescent="0.2">
      <c r="A171" s="82"/>
      <c r="B171" s="82"/>
    </row>
    <row r="172" spans="1:2" x14ac:dyDescent="0.2">
      <c r="A172" s="82"/>
      <c r="B172" s="82"/>
    </row>
    <row r="173" spans="1:2" x14ac:dyDescent="0.2">
      <c r="A173" s="82"/>
      <c r="B173" s="82"/>
    </row>
    <row r="174" spans="1:2" x14ac:dyDescent="0.2">
      <c r="A174" s="82"/>
      <c r="B174" s="82"/>
    </row>
    <row r="175" spans="1:2" x14ac:dyDescent="0.2">
      <c r="A175" s="82"/>
      <c r="B175" s="82"/>
    </row>
    <row r="176" spans="1:2" x14ac:dyDescent="0.2">
      <c r="A176" s="82"/>
      <c r="B176" s="82"/>
    </row>
    <row r="177" spans="1:2" x14ac:dyDescent="0.2">
      <c r="A177" s="82"/>
      <c r="B177" s="82"/>
    </row>
    <row r="178" spans="1:2" x14ac:dyDescent="0.2">
      <c r="A178" s="82"/>
      <c r="B178" s="82"/>
    </row>
    <row r="179" spans="1:2" x14ac:dyDescent="0.2">
      <c r="A179" s="82"/>
      <c r="B179" s="82"/>
    </row>
    <row r="180" spans="1:2" x14ac:dyDescent="0.2">
      <c r="A180" s="82"/>
      <c r="B180" s="82"/>
    </row>
    <row r="181" spans="1:2" x14ac:dyDescent="0.2">
      <c r="A181" s="82"/>
      <c r="B181" s="82"/>
    </row>
    <row r="182" spans="1:2" x14ac:dyDescent="0.2">
      <c r="A182" s="82"/>
      <c r="B182" s="82"/>
    </row>
    <row r="183" spans="1:2" x14ac:dyDescent="0.2">
      <c r="A183" s="82"/>
      <c r="B183" s="82"/>
    </row>
    <row r="184" spans="1:2" x14ac:dyDescent="0.2">
      <c r="A184" s="82"/>
      <c r="B184" s="82"/>
    </row>
    <row r="185" spans="1:2" x14ac:dyDescent="0.2">
      <c r="A185" s="82"/>
      <c r="B185" s="82"/>
    </row>
    <row r="186" spans="1:2" x14ac:dyDescent="0.2">
      <c r="A186" s="82"/>
      <c r="B186" s="82"/>
    </row>
    <row r="187" spans="1:2" x14ac:dyDescent="0.2">
      <c r="A187" s="82"/>
      <c r="B187" s="82"/>
    </row>
    <row r="188" spans="1:2" x14ac:dyDescent="0.2">
      <c r="A188" s="82"/>
      <c r="B188" s="82"/>
    </row>
    <row r="189" spans="1:2" x14ac:dyDescent="0.2">
      <c r="A189" s="82"/>
      <c r="B189" s="82"/>
    </row>
    <row r="190" spans="1:2" x14ac:dyDescent="0.2">
      <c r="A190" s="82"/>
      <c r="B190" s="82"/>
    </row>
    <row r="191" spans="1:2" x14ac:dyDescent="0.2">
      <c r="A191" s="82"/>
      <c r="B191" s="82"/>
    </row>
    <row r="192" spans="1:2" x14ac:dyDescent="0.2">
      <c r="A192" s="82"/>
      <c r="B192" s="82"/>
    </row>
    <row r="193" spans="1:2" x14ac:dyDescent="0.2">
      <c r="A193" s="82"/>
      <c r="B193" s="82"/>
    </row>
    <row r="194" spans="1:2" x14ac:dyDescent="0.2">
      <c r="A194" s="82"/>
      <c r="B194" s="82"/>
    </row>
    <row r="195" spans="1:2" x14ac:dyDescent="0.2">
      <c r="A195" s="82"/>
      <c r="B195" s="82"/>
    </row>
    <row r="196" spans="1:2" x14ac:dyDescent="0.2">
      <c r="A196" s="82"/>
      <c r="B196" s="82"/>
    </row>
    <row r="197" spans="1:2" x14ac:dyDescent="0.2">
      <c r="A197" s="82"/>
      <c r="B197" s="82"/>
    </row>
    <row r="198" spans="1:2" x14ac:dyDescent="0.2">
      <c r="A198" s="82"/>
      <c r="B198" s="82"/>
    </row>
    <row r="199" spans="1:2" x14ac:dyDescent="0.2">
      <c r="A199" s="82"/>
      <c r="B199" s="82"/>
    </row>
    <row r="200" spans="1:2" x14ac:dyDescent="0.2">
      <c r="A200" s="82"/>
      <c r="B200" s="82"/>
    </row>
    <row r="201" spans="1:2" x14ac:dyDescent="0.2">
      <c r="A201" s="82"/>
      <c r="B201" s="82"/>
    </row>
    <row r="202" spans="1:2" x14ac:dyDescent="0.2">
      <c r="A202" s="82"/>
      <c r="B202" s="82"/>
    </row>
    <row r="203" spans="1:2" x14ac:dyDescent="0.2">
      <c r="A203" s="82"/>
      <c r="B203" s="82"/>
    </row>
    <row r="204" spans="1:2" x14ac:dyDescent="0.2">
      <c r="A204" s="82"/>
      <c r="B204" s="82"/>
    </row>
    <row r="205" spans="1:2" x14ac:dyDescent="0.2">
      <c r="A205" s="82"/>
      <c r="B205" s="82"/>
    </row>
    <row r="206" spans="1:2" x14ac:dyDescent="0.2">
      <c r="A206" s="82"/>
      <c r="B206" s="82"/>
    </row>
    <row r="207" spans="1:2" x14ac:dyDescent="0.2">
      <c r="A207" s="82"/>
      <c r="B207" s="82"/>
    </row>
    <row r="208" spans="1:2" x14ac:dyDescent="0.2">
      <c r="A208" s="82"/>
      <c r="B208" s="82"/>
    </row>
    <row r="209" spans="1:2" x14ac:dyDescent="0.2">
      <c r="A209" s="82"/>
      <c r="B209" s="82"/>
    </row>
    <row r="210" spans="1:2" x14ac:dyDescent="0.2">
      <c r="A210" s="82"/>
      <c r="B210" s="82"/>
    </row>
    <row r="211" spans="1:2" x14ac:dyDescent="0.2">
      <c r="A211" s="82"/>
      <c r="B211" s="82"/>
    </row>
    <row r="212" spans="1:2" x14ac:dyDescent="0.2">
      <c r="A212" s="82"/>
      <c r="B212" s="82"/>
    </row>
    <row r="213" spans="1:2" x14ac:dyDescent="0.2">
      <c r="A213" s="82"/>
      <c r="B213" s="82"/>
    </row>
    <row r="214" spans="1:2" x14ac:dyDescent="0.2">
      <c r="A214" s="82"/>
      <c r="B214" s="82"/>
    </row>
    <row r="215" spans="1:2" x14ac:dyDescent="0.2">
      <c r="A215" s="82"/>
      <c r="B215" s="82"/>
    </row>
    <row r="216" spans="1:2" x14ac:dyDescent="0.2">
      <c r="A216" s="82"/>
      <c r="B216" s="82"/>
    </row>
    <row r="217" spans="1:2" x14ac:dyDescent="0.2">
      <c r="A217" s="82"/>
      <c r="B217" s="82"/>
    </row>
    <row r="218" spans="1:2" x14ac:dyDescent="0.2">
      <c r="A218" s="82"/>
      <c r="B218" s="82"/>
    </row>
    <row r="219" spans="1:2" x14ac:dyDescent="0.2">
      <c r="A219" s="82"/>
      <c r="B219" s="82"/>
    </row>
    <row r="220" spans="1:2" x14ac:dyDescent="0.2">
      <c r="A220" s="82"/>
      <c r="B220" s="82"/>
    </row>
    <row r="221" spans="1:2" x14ac:dyDescent="0.2">
      <c r="A221" s="82"/>
      <c r="B221" s="82"/>
    </row>
    <row r="222" spans="1:2" x14ac:dyDescent="0.2">
      <c r="A222" s="82"/>
      <c r="B222" s="82"/>
    </row>
    <row r="223" spans="1:2" x14ac:dyDescent="0.2">
      <c r="A223" s="82"/>
      <c r="B223" s="82"/>
    </row>
    <row r="224" spans="1:2" x14ac:dyDescent="0.2">
      <c r="A224" s="82"/>
      <c r="B224" s="82"/>
    </row>
    <row r="225" spans="1:2" x14ac:dyDescent="0.2">
      <c r="A225" s="82"/>
      <c r="B225" s="82"/>
    </row>
    <row r="226" spans="1:2" x14ac:dyDescent="0.2">
      <c r="A226" s="82"/>
      <c r="B226" s="82"/>
    </row>
    <row r="227" spans="1:2" x14ac:dyDescent="0.2">
      <c r="A227" s="82"/>
      <c r="B227" s="82"/>
    </row>
    <row r="228" spans="1:2" x14ac:dyDescent="0.2">
      <c r="A228" s="82"/>
      <c r="B228" s="82"/>
    </row>
    <row r="229" spans="1:2" x14ac:dyDescent="0.2">
      <c r="A229" s="82"/>
      <c r="B229" s="82"/>
    </row>
    <row r="230" spans="1:2" x14ac:dyDescent="0.2">
      <c r="A230" s="82"/>
      <c r="B230" s="82"/>
    </row>
    <row r="231" spans="1:2" x14ac:dyDescent="0.2">
      <c r="A231" s="82"/>
      <c r="B231" s="82"/>
    </row>
    <row r="232" spans="1:2" x14ac:dyDescent="0.2">
      <c r="A232" s="82"/>
      <c r="B232" s="82"/>
    </row>
    <row r="233" spans="1:2" x14ac:dyDescent="0.2">
      <c r="A233" s="82"/>
      <c r="B233" s="82"/>
    </row>
    <row r="234" spans="1:2" x14ac:dyDescent="0.2">
      <c r="A234" s="82"/>
      <c r="B234" s="82"/>
    </row>
    <row r="235" spans="1:2" x14ac:dyDescent="0.2">
      <c r="A235" s="82"/>
      <c r="B235" s="82"/>
    </row>
    <row r="236" spans="1:2" x14ac:dyDescent="0.2">
      <c r="A236" s="82"/>
      <c r="B236" s="82"/>
    </row>
    <row r="237" spans="1:2" x14ac:dyDescent="0.2">
      <c r="A237" s="82"/>
      <c r="B237" s="82"/>
    </row>
    <row r="238" spans="1:2" x14ac:dyDescent="0.2">
      <c r="A238" s="82"/>
      <c r="B238" s="82"/>
    </row>
    <row r="239" spans="1:2" x14ac:dyDescent="0.2">
      <c r="A239" s="82"/>
      <c r="B239" s="82"/>
    </row>
    <row r="240" spans="1:2" x14ac:dyDescent="0.2">
      <c r="A240" s="82"/>
      <c r="B240" s="82"/>
    </row>
    <row r="241" spans="1:2" x14ac:dyDescent="0.2">
      <c r="A241" s="82"/>
      <c r="B241" s="82"/>
    </row>
    <row r="242" spans="1:2" x14ac:dyDescent="0.2">
      <c r="A242" s="82"/>
      <c r="B242" s="82"/>
    </row>
    <row r="243" spans="1:2" x14ac:dyDescent="0.2">
      <c r="A243" s="82"/>
      <c r="B243" s="82"/>
    </row>
    <row r="244" spans="1:2" x14ac:dyDescent="0.2">
      <c r="A244" s="82"/>
      <c r="B244" s="82"/>
    </row>
    <row r="245" spans="1:2" x14ac:dyDescent="0.2">
      <c r="A245" s="82"/>
      <c r="B245" s="82"/>
    </row>
    <row r="246" spans="1:2" x14ac:dyDescent="0.2">
      <c r="A246" s="82"/>
      <c r="B246" s="82"/>
    </row>
    <row r="247" spans="1:2" x14ac:dyDescent="0.2">
      <c r="A247" s="82"/>
      <c r="B247" s="82"/>
    </row>
    <row r="248" spans="1:2" x14ac:dyDescent="0.2">
      <c r="A248" s="82"/>
      <c r="B248" s="82"/>
    </row>
    <row r="249" spans="1:2" x14ac:dyDescent="0.2">
      <c r="A249" s="82"/>
      <c r="B249" s="82"/>
    </row>
    <row r="250" spans="1:2" x14ac:dyDescent="0.2">
      <c r="A250" s="82"/>
      <c r="B250" s="82"/>
    </row>
    <row r="251" spans="1:2" x14ac:dyDescent="0.2">
      <c r="A251" s="82"/>
      <c r="B251" s="82"/>
    </row>
    <row r="252" spans="1:2" x14ac:dyDescent="0.2">
      <c r="A252" s="82"/>
      <c r="B252" s="82"/>
    </row>
    <row r="253" spans="1:2" x14ac:dyDescent="0.2">
      <c r="A253" s="82"/>
      <c r="B253" s="82"/>
    </row>
    <row r="254" spans="1:2" x14ac:dyDescent="0.2">
      <c r="A254" s="82"/>
      <c r="B254" s="82"/>
    </row>
    <row r="255" spans="1:2" x14ac:dyDescent="0.2">
      <c r="A255" s="82"/>
      <c r="B255" s="82"/>
    </row>
    <row r="256" spans="1:2" x14ac:dyDescent="0.2">
      <c r="A256" s="82"/>
      <c r="B256" s="82"/>
    </row>
    <row r="257" spans="1:2" x14ac:dyDescent="0.2">
      <c r="A257" s="82"/>
      <c r="B257" s="82"/>
    </row>
    <row r="258" spans="1:2" x14ac:dyDescent="0.2">
      <c r="A258" s="82"/>
      <c r="B258" s="82"/>
    </row>
    <row r="259" spans="1:2" x14ac:dyDescent="0.2">
      <c r="A259" s="82"/>
      <c r="B259" s="82"/>
    </row>
    <row r="260" spans="1:2" x14ac:dyDescent="0.2">
      <c r="A260" s="82"/>
      <c r="B260" s="82"/>
    </row>
    <row r="261" spans="1:2" x14ac:dyDescent="0.2">
      <c r="A261" s="82"/>
      <c r="B261" s="82"/>
    </row>
    <row r="262" spans="1:2" x14ac:dyDescent="0.2">
      <c r="A262" s="82"/>
      <c r="B262" s="82"/>
    </row>
    <row r="263" spans="1:2" x14ac:dyDescent="0.2">
      <c r="A263" s="82"/>
      <c r="B263" s="82"/>
    </row>
    <row r="264" spans="1:2" x14ac:dyDescent="0.2">
      <c r="A264" s="82"/>
      <c r="B264" s="82"/>
    </row>
    <row r="265" spans="1:2" x14ac:dyDescent="0.2">
      <c r="A265" s="82"/>
      <c r="B265" s="82"/>
    </row>
    <row r="266" spans="1:2" x14ac:dyDescent="0.2">
      <c r="A266" s="82"/>
      <c r="B266" s="82"/>
    </row>
    <row r="267" spans="1:2" x14ac:dyDescent="0.2">
      <c r="A267" s="82"/>
      <c r="B267" s="82"/>
    </row>
    <row r="268" spans="1:2" x14ac:dyDescent="0.2">
      <c r="A268" s="82"/>
      <c r="B268" s="82"/>
    </row>
    <row r="269" spans="1:2" x14ac:dyDescent="0.2">
      <c r="A269" s="82"/>
      <c r="B269" s="82"/>
    </row>
    <row r="270" spans="1:2" x14ac:dyDescent="0.2">
      <c r="A270" s="82"/>
      <c r="B270" s="82"/>
    </row>
    <row r="271" spans="1:2" x14ac:dyDescent="0.2">
      <c r="A271" s="82"/>
      <c r="B271" s="82"/>
    </row>
    <row r="272" spans="1:2" x14ac:dyDescent="0.2">
      <c r="A272" s="82"/>
      <c r="B272" s="82"/>
    </row>
    <row r="273" spans="1:2" x14ac:dyDescent="0.2">
      <c r="A273" s="82"/>
      <c r="B273" s="82"/>
    </row>
    <row r="274" spans="1:2" x14ac:dyDescent="0.2">
      <c r="A274" s="82"/>
      <c r="B274" s="82"/>
    </row>
    <row r="275" spans="1:2" x14ac:dyDescent="0.2">
      <c r="A275" s="82"/>
      <c r="B275" s="82"/>
    </row>
    <row r="276" spans="1:2" x14ac:dyDescent="0.2">
      <c r="A276" s="82"/>
      <c r="B276" s="82"/>
    </row>
    <row r="277" spans="1:2" x14ac:dyDescent="0.2">
      <c r="A277" s="82"/>
      <c r="B277" s="82"/>
    </row>
    <row r="278" spans="1:2" x14ac:dyDescent="0.2">
      <c r="A278" s="82"/>
      <c r="B278" s="82"/>
    </row>
    <row r="279" spans="1:2" x14ac:dyDescent="0.2">
      <c r="A279" s="82"/>
      <c r="B279" s="82"/>
    </row>
    <row r="280" spans="1:2" x14ac:dyDescent="0.2">
      <c r="A280" s="82"/>
      <c r="B280" s="82"/>
    </row>
    <row r="281" spans="1:2" x14ac:dyDescent="0.2">
      <c r="A281" s="82"/>
      <c r="B281" s="82"/>
    </row>
    <row r="282" spans="1:2" x14ac:dyDescent="0.2">
      <c r="A282" s="82"/>
      <c r="B282" s="82"/>
    </row>
    <row r="283" spans="1:2" x14ac:dyDescent="0.2">
      <c r="A283" s="82"/>
      <c r="B283" s="82"/>
    </row>
    <row r="284" spans="1:2" x14ac:dyDescent="0.2">
      <c r="A284" s="82"/>
      <c r="B284" s="82"/>
    </row>
    <row r="285" spans="1:2" x14ac:dyDescent="0.2">
      <c r="A285" s="82"/>
      <c r="B285" s="82"/>
    </row>
    <row r="286" spans="1:2" x14ac:dyDescent="0.2">
      <c r="A286" s="82"/>
      <c r="B286" s="82"/>
    </row>
    <row r="287" spans="1:2" x14ac:dyDescent="0.2">
      <c r="A287" s="82"/>
      <c r="B287" s="82"/>
    </row>
    <row r="288" spans="1:2" x14ac:dyDescent="0.2">
      <c r="A288" s="82"/>
      <c r="B288" s="82"/>
    </row>
    <row r="289" spans="1:2" x14ac:dyDescent="0.2">
      <c r="A289" s="82"/>
      <c r="B289" s="82"/>
    </row>
    <row r="290" spans="1:2" x14ac:dyDescent="0.2">
      <c r="A290" s="82"/>
      <c r="B290" s="82"/>
    </row>
    <row r="291" spans="1:2" x14ac:dyDescent="0.2">
      <c r="A291" s="82"/>
      <c r="B291" s="82"/>
    </row>
    <row r="292" spans="1:2" x14ac:dyDescent="0.2">
      <c r="A292" s="82"/>
      <c r="B292" s="82"/>
    </row>
    <row r="293" spans="1:2" x14ac:dyDescent="0.2">
      <c r="A293" s="82"/>
      <c r="B293" s="82"/>
    </row>
    <row r="294" spans="1:2" x14ac:dyDescent="0.2">
      <c r="A294" s="82"/>
      <c r="B294" s="82"/>
    </row>
    <row r="295" spans="1:2" x14ac:dyDescent="0.2">
      <c r="A295" s="82"/>
      <c r="B295" s="82"/>
    </row>
    <row r="296" spans="1:2" x14ac:dyDescent="0.2">
      <c r="A296" s="82"/>
      <c r="B296" s="82"/>
    </row>
    <row r="297" spans="1:2" x14ac:dyDescent="0.2">
      <c r="A297" s="82"/>
      <c r="B297" s="82"/>
    </row>
    <row r="298" spans="1:2" x14ac:dyDescent="0.2">
      <c r="A298" s="82"/>
      <c r="B298" s="82"/>
    </row>
    <row r="299" spans="1:2" x14ac:dyDescent="0.2">
      <c r="A299" s="82"/>
      <c r="B299" s="82"/>
    </row>
    <row r="300" spans="1:2" x14ac:dyDescent="0.2">
      <c r="A300" s="82"/>
      <c r="B300" s="82"/>
    </row>
    <row r="301" spans="1:2" x14ac:dyDescent="0.2">
      <c r="A301" s="82"/>
      <c r="B301" s="82"/>
    </row>
    <row r="302" spans="1:2" x14ac:dyDescent="0.2">
      <c r="A302" s="82"/>
      <c r="B302" s="82"/>
    </row>
    <row r="303" spans="1:2" x14ac:dyDescent="0.2">
      <c r="A303" s="82"/>
      <c r="B303" s="82"/>
    </row>
    <row r="304" spans="1:2" x14ac:dyDescent="0.2">
      <c r="A304" s="82"/>
      <c r="B304" s="82"/>
    </row>
    <row r="305" spans="1:2" x14ac:dyDescent="0.2">
      <c r="A305" s="82"/>
      <c r="B305" s="82"/>
    </row>
    <row r="306" spans="1:2" x14ac:dyDescent="0.2">
      <c r="A306" s="82"/>
      <c r="B306" s="82"/>
    </row>
    <row r="307" spans="1:2" x14ac:dyDescent="0.2">
      <c r="A307" s="82"/>
      <c r="B307" s="82"/>
    </row>
    <row r="308" spans="1:2" x14ac:dyDescent="0.2">
      <c r="A308" s="82"/>
      <c r="B308" s="82"/>
    </row>
    <row r="309" spans="1:2" x14ac:dyDescent="0.2">
      <c r="A309" s="82"/>
      <c r="B309" s="82"/>
    </row>
    <row r="310" spans="1:2" x14ac:dyDescent="0.2">
      <c r="A310" s="82"/>
      <c r="B310" s="82"/>
    </row>
    <row r="311" spans="1:2" x14ac:dyDescent="0.2">
      <c r="A311" s="82"/>
      <c r="B311" s="82"/>
    </row>
    <row r="312" spans="1:2" x14ac:dyDescent="0.2">
      <c r="A312" s="82"/>
      <c r="B312" s="82"/>
    </row>
    <row r="313" spans="1:2" x14ac:dyDescent="0.2">
      <c r="A313" s="82"/>
      <c r="B313" s="82"/>
    </row>
    <row r="314" spans="1:2" x14ac:dyDescent="0.2">
      <c r="A314" s="82"/>
      <c r="B314" s="82"/>
    </row>
    <row r="315" spans="1:2" x14ac:dyDescent="0.2">
      <c r="A315" s="82"/>
      <c r="B315" s="82"/>
    </row>
    <row r="316" spans="1:2" x14ac:dyDescent="0.2">
      <c r="A316" s="82"/>
      <c r="B316" s="82"/>
    </row>
    <row r="317" spans="1:2" x14ac:dyDescent="0.2">
      <c r="A317" s="82"/>
      <c r="B317" s="82"/>
    </row>
    <row r="318" spans="1:2" x14ac:dyDescent="0.2">
      <c r="A318" s="82"/>
      <c r="B318" s="82"/>
    </row>
    <row r="319" spans="1:2" x14ac:dyDescent="0.2">
      <c r="A319" s="82"/>
      <c r="B319" s="82"/>
    </row>
    <row r="320" spans="1:2" x14ac:dyDescent="0.2">
      <c r="A320" s="82"/>
      <c r="B320" s="82"/>
    </row>
    <row r="321" spans="1:2" x14ac:dyDescent="0.2">
      <c r="A321" s="82"/>
      <c r="B321" s="82"/>
    </row>
    <row r="322" spans="1:2" x14ac:dyDescent="0.2">
      <c r="A322" s="82"/>
      <c r="B322" s="82"/>
    </row>
    <row r="323" spans="1:2" x14ac:dyDescent="0.2">
      <c r="A323" s="82"/>
      <c r="B323" s="82"/>
    </row>
    <row r="324" spans="1:2" x14ac:dyDescent="0.2">
      <c r="A324" s="82"/>
      <c r="B324" s="82"/>
    </row>
    <row r="325" spans="1:2" x14ac:dyDescent="0.2">
      <c r="A325" s="82"/>
      <c r="B325" s="82"/>
    </row>
    <row r="326" spans="1:2" x14ac:dyDescent="0.2">
      <c r="A326" s="82"/>
      <c r="B326" s="82"/>
    </row>
    <row r="327" spans="1:2" x14ac:dyDescent="0.2">
      <c r="A327" s="82"/>
      <c r="B327" s="82"/>
    </row>
    <row r="328" spans="1:2" x14ac:dyDescent="0.2">
      <c r="A328" s="82"/>
      <c r="B328" s="82"/>
    </row>
    <row r="329" spans="1:2" x14ac:dyDescent="0.2">
      <c r="A329" s="82"/>
      <c r="B329" s="82"/>
    </row>
    <row r="330" spans="1:2" x14ac:dyDescent="0.2">
      <c r="A330" s="82"/>
      <c r="B330" s="82"/>
    </row>
    <row r="331" spans="1:2" x14ac:dyDescent="0.2">
      <c r="A331" s="82"/>
      <c r="B331" s="82"/>
    </row>
    <row r="332" spans="1:2" x14ac:dyDescent="0.2">
      <c r="A332" s="82"/>
      <c r="B332" s="82"/>
    </row>
    <row r="333" spans="1:2" x14ac:dyDescent="0.2">
      <c r="A333" s="82"/>
      <c r="B333" s="82"/>
    </row>
    <row r="334" spans="1:2" x14ac:dyDescent="0.2">
      <c r="A334" s="82"/>
      <c r="B334" s="82"/>
    </row>
    <row r="335" spans="1:2" x14ac:dyDescent="0.2">
      <c r="A335" s="82"/>
      <c r="B335" s="82"/>
    </row>
    <row r="336" spans="1:2" x14ac:dyDescent="0.2">
      <c r="A336" s="82"/>
      <c r="B336" s="82"/>
    </row>
    <row r="337" spans="1:2" x14ac:dyDescent="0.2">
      <c r="A337" s="82"/>
      <c r="B337" s="82"/>
    </row>
    <row r="338" spans="1:2" x14ac:dyDescent="0.2">
      <c r="A338" s="82"/>
      <c r="B338" s="82"/>
    </row>
    <row r="339" spans="1:2" x14ac:dyDescent="0.2">
      <c r="A339" s="82"/>
      <c r="B339" s="82"/>
    </row>
    <row r="340" spans="1:2" x14ac:dyDescent="0.2">
      <c r="A340" s="82"/>
      <c r="B340" s="82"/>
    </row>
    <row r="341" spans="1:2" x14ac:dyDescent="0.2">
      <c r="A341" s="82"/>
      <c r="B341" s="82"/>
    </row>
    <row r="342" spans="1:2" x14ac:dyDescent="0.2">
      <c r="A342" s="82"/>
      <c r="B342" s="82"/>
    </row>
    <row r="343" spans="1:2" x14ac:dyDescent="0.2">
      <c r="A343" s="82"/>
      <c r="B343" s="82"/>
    </row>
    <row r="344" spans="1:2" x14ac:dyDescent="0.2">
      <c r="A344" s="82"/>
      <c r="B344" s="82"/>
    </row>
    <row r="345" spans="1:2" x14ac:dyDescent="0.2">
      <c r="A345" s="82"/>
      <c r="B345" s="82"/>
    </row>
    <row r="346" spans="1:2" x14ac:dyDescent="0.2">
      <c r="A346" s="82"/>
      <c r="B346" s="82"/>
    </row>
    <row r="347" spans="1:2" x14ac:dyDescent="0.2">
      <c r="A347" s="82"/>
      <c r="B347" s="82"/>
    </row>
    <row r="348" spans="1:2" x14ac:dyDescent="0.2">
      <c r="A348" s="82"/>
      <c r="B348" s="82"/>
    </row>
    <row r="349" spans="1:2" x14ac:dyDescent="0.2">
      <c r="A349" s="82"/>
      <c r="B349" s="82"/>
    </row>
    <row r="350" spans="1:2" x14ac:dyDescent="0.2">
      <c r="A350" s="82"/>
      <c r="B350" s="82"/>
    </row>
    <row r="351" spans="1:2" x14ac:dyDescent="0.2">
      <c r="A351" s="82"/>
      <c r="B351" s="82"/>
    </row>
    <row r="352" spans="1:2" x14ac:dyDescent="0.2">
      <c r="A352" s="82"/>
      <c r="B352" s="82"/>
    </row>
    <row r="353" spans="1:2" x14ac:dyDescent="0.2">
      <c r="A353" s="82"/>
      <c r="B353" s="82"/>
    </row>
    <row r="354" spans="1:2" x14ac:dyDescent="0.2">
      <c r="A354" s="82"/>
      <c r="B354" s="82"/>
    </row>
    <row r="355" spans="1:2" x14ac:dyDescent="0.2">
      <c r="A355" s="82"/>
      <c r="B355" s="82"/>
    </row>
    <row r="356" spans="1:2" x14ac:dyDescent="0.2">
      <c r="A356" s="82"/>
      <c r="B356" s="82"/>
    </row>
    <row r="357" spans="1:2" x14ac:dyDescent="0.2">
      <c r="A357" s="82"/>
      <c r="B357" s="82"/>
    </row>
    <row r="358" spans="1:2" x14ac:dyDescent="0.2">
      <c r="A358" s="82"/>
      <c r="B358" s="82"/>
    </row>
    <row r="359" spans="1:2" x14ac:dyDescent="0.2">
      <c r="A359" s="82"/>
      <c r="B359" s="82"/>
    </row>
    <row r="360" spans="1:2" x14ac:dyDescent="0.2">
      <c r="A360" s="82"/>
      <c r="B360" s="82"/>
    </row>
    <row r="361" spans="1:2" x14ac:dyDescent="0.2">
      <c r="A361" s="82"/>
      <c r="B361" s="82"/>
    </row>
    <row r="362" spans="1:2" x14ac:dyDescent="0.2">
      <c r="A362" s="82"/>
      <c r="B362" s="82"/>
    </row>
    <row r="363" spans="1:2" x14ac:dyDescent="0.2">
      <c r="A363" s="82"/>
      <c r="B363" s="82"/>
    </row>
    <row r="364" spans="1:2" x14ac:dyDescent="0.2">
      <c r="A364" s="82"/>
      <c r="B364" s="82"/>
    </row>
    <row r="365" spans="1:2" x14ac:dyDescent="0.2">
      <c r="A365" s="82"/>
      <c r="B365" s="82"/>
    </row>
    <row r="366" spans="1:2" x14ac:dyDescent="0.2">
      <c r="A366" s="82"/>
      <c r="B366" s="82"/>
    </row>
    <row r="367" spans="1:2" x14ac:dyDescent="0.2">
      <c r="A367" s="82"/>
      <c r="B367" s="82"/>
    </row>
    <row r="368" spans="1:2" x14ac:dyDescent="0.2">
      <c r="A368" s="82"/>
      <c r="B368" s="82"/>
    </row>
    <row r="369" spans="1:2" x14ac:dyDescent="0.2">
      <c r="A369" s="82"/>
      <c r="B369" s="82"/>
    </row>
    <row r="370" spans="1:2" x14ac:dyDescent="0.2">
      <c r="A370" s="82"/>
      <c r="B370" s="82"/>
    </row>
    <row r="371" spans="1:2" x14ac:dyDescent="0.2">
      <c r="A371" s="82"/>
      <c r="B371" s="82"/>
    </row>
    <row r="372" spans="1:2" x14ac:dyDescent="0.2">
      <c r="A372" s="82"/>
      <c r="B372" s="82"/>
    </row>
    <row r="373" spans="1:2" x14ac:dyDescent="0.2">
      <c r="A373" s="82"/>
      <c r="B373" s="82"/>
    </row>
    <row r="374" spans="1:2" x14ac:dyDescent="0.2">
      <c r="A374" s="82"/>
      <c r="B374" s="82"/>
    </row>
    <row r="375" spans="1:2" x14ac:dyDescent="0.2">
      <c r="A375" s="82"/>
      <c r="B375" s="82"/>
    </row>
    <row r="376" spans="1:2" x14ac:dyDescent="0.2">
      <c r="A376" s="82"/>
      <c r="B376" s="82"/>
    </row>
    <row r="377" spans="1:2" x14ac:dyDescent="0.2">
      <c r="A377" s="82"/>
      <c r="B377" s="82"/>
    </row>
    <row r="378" spans="1:2" x14ac:dyDescent="0.2">
      <c r="A378" s="82"/>
      <c r="B378" s="82"/>
    </row>
    <row r="379" spans="1:2" x14ac:dyDescent="0.2">
      <c r="A379" s="82"/>
      <c r="B379" s="82"/>
    </row>
    <row r="380" spans="1:2" x14ac:dyDescent="0.2">
      <c r="A380" s="82"/>
      <c r="B380" s="82"/>
    </row>
    <row r="381" spans="1:2" x14ac:dyDescent="0.2">
      <c r="A381" s="82"/>
      <c r="B381" s="82"/>
    </row>
    <row r="382" spans="1:2" x14ac:dyDescent="0.2">
      <c r="A382" s="82"/>
      <c r="B382" s="82"/>
    </row>
    <row r="383" spans="1:2" x14ac:dyDescent="0.2">
      <c r="A383" s="82"/>
      <c r="B383" s="82"/>
    </row>
    <row r="384" spans="1:2" x14ac:dyDescent="0.2">
      <c r="A384" s="82"/>
      <c r="B384" s="82"/>
    </row>
    <row r="385" spans="1:2" x14ac:dyDescent="0.2">
      <c r="A385" s="82"/>
      <c r="B385" s="82"/>
    </row>
    <row r="386" spans="1:2" x14ac:dyDescent="0.2">
      <c r="A386" s="82"/>
      <c r="B386" s="82"/>
    </row>
    <row r="387" spans="1:2" x14ac:dyDescent="0.2">
      <c r="A387" s="82"/>
      <c r="B387" s="82"/>
    </row>
    <row r="388" spans="1:2" x14ac:dyDescent="0.2">
      <c r="A388" s="82"/>
      <c r="B388" s="82"/>
    </row>
    <row r="389" spans="1:2" x14ac:dyDescent="0.2">
      <c r="A389" s="82"/>
      <c r="B389" s="82"/>
    </row>
    <row r="390" spans="1:2" x14ac:dyDescent="0.2">
      <c r="A390" s="82"/>
      <c r="B390" s="82"/>
    </row>
    <row r="391" spans="1:2" x14ac:dyDescent="0.2">
      <c r="A391" s="82"/>
      <c r="B391" s="82"/>
    </row>
    <row r="392" spans="1:2" x14ac:dyDescent="0.2">
      <c r="A392" s="82"/>
      <c r="B392" s="82"/>
    </row>
    <row r="393" spans="1:2" x14ac:dyDescent="0.2">
      <c r="A393" s="82"/>
      <c r="B393" s="82"/>
    </row>
    <row r="394" spans="1:2" x14ac:dyDescent="0.2">
      <c r="A394" s="82"/>
      <c r="B394" s="82"/>
    </row>
    <row r="395" spans="1:2" x14ac:dyDescent="0.2">
      <c r="A395" s="82"/>
      <c r="B395" s="82"/>
    </row>
    <row r="396" spans="1:2" x14ac:dyDescent="0.2">
      <c r="A396" s="82"/>
      <c r="B396" s="82"/>
    </row>
    <row r="397" spans="1:2" x14ac:dyDescent="0.2">
      <c r="A397" s="82"/>
      <c r="B397" s="82"/>
    </row>
    <row r="398" spans="1:2" x14ac:dyDescent="0.2">
      <c r="A398" s="82"/>
      <c r="B398" s="82"/>
    </row>
    <row r="399" spans="1:2" x14ac:dyDescent="0.2">
      <c r="A399" s="82"/>
      <c r="B399" s="82"/>
    </row>
    <row r="400" spans="1:2" x14ac:dyDescent="0.2">
      <c r="A400" s="82"/>
      <c r="B400" s="82"/>
    </row>
    <row r="401" spans="1:2" x14ac:dyDescent="0.2">
      <c r="A401" s="82"/>
      <c r="B401" s="82"/>
    </row>
    <row r="402" spans="1:2" x14ac:dyDescent="0.2">
      <c r="A402" s="82"/>
      <c r="B402" s="82"/>
    </row>
    <row r="403" spans="1:2" x14ac:dyDescent="0.2">
      <c r="A403" s="82"/>
      <c r="B403" s="82"/>
    </row>
    <row r="404" spans="1:2" x14ac:dyDescent="0.2">
      <c r="A404" s="82"/>
      <c r="B404" s="82"/>
    </row>
    <row r="405" spans="1:2" x14ac:dyDescent="0.2">
      <c r="A405" s="82"/>
      <c r="B405" s="82"/>
    </row>
    <row r="406" spans="1:2" x14ac:dyDescent="0.2">
      <c r="A406" s="82"/>
      <c r="B406" s="82"/>
    </row>
    <row r="407" spans="1:2" x14ac:dyDescent="0.2">
      <c r="A407" s="82"/>
      <c r="B407" s="82"/>
    </row>
    <row r="408" spans="1:2" x14ac:dyDescent="0.2">
      <c r="A408" s="82"/>
      <c r="B408" s="82"/>
    </row>
    <row r="409" spans="1:2" x14ac:dyDescent="0.2">
      <c r="A409" s="82"/>
      <c r="B409" s="82"/>
    </row>
    <row r="410" spans="1:2" x14ac:dyDescent="0.2">
      <c r="A410" s="82"/>
      <c r="B410" s="82"/>
    </row>
    <row r="411" spans="1:2" x14ac:dyDescent="0.2">
      <c r="A411" s="82"/>
      <c r="B411" s="82"/>
    </row>
    <row r="412" spans="1:2" x14ac:dyDescent="0.2">
      <c r="A412" s="82"/>
      <c r="B412" s="82"/>
    </row>
    <row r="413" spans="1:2" x14ac:dyDescent="0.2">
      <c r="A413" s="82"/>
      <c r="B413" s="82"/>
    </row>
    <row r="414" spans="1:2" x14ac:dyDescent="0.2">
      <c r="A414" s="82"/>
      <c r="B414" s="82"/>
    </row>
    <row r="415" spans="1:2" x14ac:dyDescent="0.2">
      <c r="A415" s="82"/>
      <c r="B415" s="82"/>
    </row>
    <row r="416" spans="1:2" x14ac:dyDescent="0.2">
      <c r="A416" s="82"/>
      <c r="B416" s="82"/>
    </row>
    <row r="417" spans="1:2" x14ac:dyDescent="0.2">
      <c r="A417" s="82"/>
      <c r="B417" s="82"/>
    </row>
    <row r="418" spans="1:2" x14ac:dyDescent="0.2">
      <c r="A418" s="82"/>
      <c r="B418" s="82"/>
    </row>
    <row r="419" spans="1:2" x14ac:dyDescent="0.2">
      <c r="A419" s="82"/>
      <c r="B419" s="82"/>
    </row>
    <row r="420" spans="1:2" x14ac:dyDescent="0.2">
      <c r="A420" s="82"/>
      <c r="B420" s="82"/>
    </row>
    <row r="421" spans="1:2" x14ac:dyDescent="0.2">
      <c r="A421" s="82"/>
      <c r="B421" s="82"/>
    </row>
    <row r="422" spans="1:2" x14ac:dyDescent="0.2">
      <c r="A422" s="82"/>
      <c r="B422" s="82"/>
    </row>
    <row r="423" spans="1:2" x14ac:dyDescent="0.2">
      <c r="A423" s="82"/>
      <c r="B423" s="82"/>
    </row>
    <row r="424" spans="1:2" x14ac:dyDescent="0.2">
      <c r="A424" s="82"/>
      <c r="B424" s="82"/>
    </row>
    <row r="425" spans="1:2" x14ac:dyDescent="0.2">
      <c r="A425" s="82"/>
      <c r="B425" s="82"/>
    </row>
    <row r="426" spans="1:2" x14ac:dyDescent="0.2">
      <c r="A426" s="82"/>
      <c r="B426" s="82"/>
    </row>
    <row r="427" spans="1:2" x14ac:dyDescent="0.2">
      <c r="A427" s="82"/>
      <c r="B427" s="82"/>
    </row>
    <row r="428" spans="1:2" x14ac:dyDescent="0.2">
      <c r="A428" s="82"/>
      <c r="B428" s="82"/>
    </row>
    <row r="429" spans="1:2" x14ac:dyDescent="0.2">
      <c r="A429" s="82"/>
      <c r="B429" s="82"/>
    </row>
    <row r="430" spans="1:2" x14ac:dyDescent="0.2">
      <c r="A430" s="82"/>
      <c r="B430" s="82"/>
    </row>
    <row r="431" spans="1:2" x14ac:dyDescent="0.2">
      <c r="A431" s="82"/>
      <c r="B431" s="82"/>
    </row>
    <row r="432" spans="1:2" x14ac:dyDescent="0.2">
      <c r="A432" s="82"/>
      <c r="B432" s="82"/>
    </row>
    <row r="433" spans="1:2" x14ac:dyDescent="0.2">
      <c r="A433" s="82"/>
      <c r="B433" s="82"/>
    </row>
    <row r="434" spans="1:2" x14ac:dyDescent="0.2">
      <c r="A434" s="82"/>
      <c r="B434" s="82"/>
    </row>
    <row r="435" spans="1:2" x14ac:dyDescent="0.2">
      <c r="A435" s="82"/>
      <c r="B435" s="82"/>
    </row>
    <row r="436" spans="1:2" x14ac:dyDescent="0.2">
      <c r="A436" s="82"/>
      <c r="B436" s="82"/>
    </row>
    <row r="437" spans="1:2" x14ac:dyDescent="0.2">
      <c r="A437" s="82"/>
      <c r="B437" s="82"/>
    </row>
    <row r="438" spans="1:2" x14ac:dyDescent="0.2">
      <c r="A438" s="82"/>
      <c r="B438" s="82"/>
    </row>
    <row r="439" spans="1:2" x14ac:dyDescent="0.2">
      <c r="A439" s="82"/>
      <c r="B439" s="82"/>
    </row>
    <row r="440" spans="1:2" x14ac:dyDescent="0.2">
      <c r="A440" s="82"/>
      <c r="B440" s="82"/>
    </row>
    <row r="441" spans="1:2" x14ac:dyDescent="0.2">
      <c r="A441" s="82"/>
      <c r="B441" s="82"/>
    </row>
    <row r="442" spans="1:2" x14ac:dyDescent="0.2">
      <c r="A442" s="82"/>
      <c r="B442" s="82"/>
    </row>
    <row r="443" spans="1:2" x14ac:dyDescent="0.2">
      <c r="A443" s="82"/>
      <c r="B443" s="82"/>
    </row>
    <row r="444" spans="1:2" x14ac:dyDescent="0.2">
      <c r="A444" s="82"/>
      <c r="B444" s="82"/>
    </row>
    <row r="445" spans="1:2" x14ac:dyDescent="0.2">
      <c r="A445" s="82"/>
      <c r="B445" s="82"/>
    </row>
    <row r="446" spans="1:2" x14ac:dyDescent="0.2">
      <c r="A446" s="82"/>
      <c r="B446" s="82"/>
    </row>
    <row r="447" spans="1:2" x14ac:dyDescent="0.2">
      <c r="A447" s="82"/>
      <c r="B447" s="82"/>
    </row>
    <row r="448" spans="1:2" x14ac:dyDescent="0.2">
      <c r="A448" s="82"/>
      <c r="B448" s="82"/>
    </row>
    <row r="449" spans="1:2" x14ac:dyDescent="0.2">
      <c r="A449" s="82"/>
      <c r="B449" s="82"/>
    </row>
    <row r="450" spans="1:2" x14ac:dyDescent="0.2">
      <c r="A450" s="82"/>
      <c r="B450" s="82"/>
    </row>
    <row r="451" spans="1:2" x14ac:dyDescent="0.2">
      <c r="A451" s="82"/>
      <c r="B451" s="82"/>
    </row>
    <row r="452" spans="1:2" x14ac:dyDescent="0.2">
      <c r="A452" s="82"/>
      <c r="B452" s="82"/>
    </row>
    <row r="453" spans="1:2" x14ac:dyDescent="0.2">
      <c r="A453" s="82"/>
      <c r="B453" s="82"/>
    </row>
    <row r="454" spans="1:2" x14ac:dyDescent="0.2">
      <c r="A454" s="82"/>
      <c r="B454" s="82"/>
    </row>
    <row r="455" spans="1:2" x14ac:dyDescent="0.2">
      <c r="A455" s="82"/>
      <c r="B455" s="82"/>
    </row>
    <row r="456" spans="1:2" x14ac:dyDescent="0.2">
      <c r="A456" s="82"/>
      <c r="B456" s="82"/>
    </row>
    <row r="457" spans="1:2" x14ac:dyDescent="0.2">
      <c r="A457" s="82"/>
      <c r="B457" s="82"/>
    </row>
    <row r="458" spans="1:2" x14ac:dyDescent="0.2">
      <c r="A458" s="82"/>
      <c r="B458" s="82"/>
    </row>
    <row r="459" spans="1:2" x14ac:dyDescent="0.2">
      <c r="A459" s="82"/>
      <c r="B459" s="82"/>
    </row>
    <row r="460" spans="1:2" x14ac:dyDescent="0.2">
      <c r="A460" s="82"/>
      <c r="B460" s="82"/>
    </row>
    <row r="461" spans="1:2" x14ac:dyDescent="0.2">
      <c r="A461" s="82"/>
      <c r="B461" s="82"/>
    </row>
    <row r="462" spans="1:2" x14ac:dyDescent="0.2">
      <c r="A462" s="82"/>
      <c r="B462" s="82"/>
    </row>
    <row r="463" spans="1:2" x14ac:dyDescent="0.2">
      <c r="A463" s="82"/>
      <c r="B463" s="82"/>
    </row>
    <row r="464" spans="1:2" x14ac:dyDescent="0.2">
      <c r="A464" s="82"/>
      <c r="B464" s="82"/>
    </row>
    <row r="465" spans="1:2" x14ac:dyDescent="0.2">
      <c r="A465" s="82"/>
      <c r="B465" s="82"/>
    </row>
    <row r="466" spans="1:2" x14ac:dyDescent="0.2">
      <c r="A466" s="82"/>
      <c r="B466" s="82"/>
    </row>
    <row r="467" spans="1:2" x14ac:dyDescent="0.2">
      <c r="A467" s="82"/>
      <c r="B467" s="82"/>
    </row>
    <row r="468" spans="1:2" x14ac:dyDescent="0.2">
      <c r="A468" s="82"/>
      <c r="B468" s="82"/>
    </row>
    <row r="469" spans="1:2" x14ac:dyDescent="0.2">
      <c r="A469" s="82"/>
      <c r="B469" s="82"/>
    </row>
    <row r="470" spans="1:2" x14ac:dyDescent="0.2">
      <c r="A470" s="82"/>
      <c r="B470" s="82"/>
    </row>
    <row r="471" spans="1:2" x14ac:dyDescent="0.2">
      <c r="A471" s="82"/>
      <c r="B471" s="82"/>
    </row>
    <row r="472" spans="1:2" x14ac:dyDescent="0.2">
      <c r="A472" s="82"/>
      <c r="B472" s="82"/>
    </row>
    <row r="473" spans="1:2" x14ac:dyDescent="0.2">
      <c r="A473" s="82"/>
      <c r="B473" s="82"/>
    </row>
    <row r="474" spans="1:2" x14ac:dyDescent="0.2">
      <c r="A474" s="82"/>
      <c r="B474" s="82"/>
    </row>
    <row r="475" spans="1:2" x14ac:dyDescent="0.2">
      <c r="A475" s="82"/>
      <c r="B475" s="82"/>
    </row>
    <row r="476" spans="1:2" x14ac:dyDescent="0.2">
      <c r="A476" s="82"/>
      <c r="B476" s="82"/>
    </row>
    <row r="477" spans="1:2" x14ac:dyDescent="0.2">
      <c r="A477" s="82"/>
      <c r="B477" s="82"/>
    </row>
    <row r="478" spans="1:2" x14ac:dyDescent="0.2">
      <c r="A478" s="82"/>
      <c r="B478" s="82"/>
    </row>
    <row r="479" spans="1:2" x14ac:dyDescent="0.2">
      <c r="A479" s="82"/>
      <c r="B479" s="82"/>
    </row>
    <row r="480" spans="1:2" x14ac:dyDescent="0.2">
      <c r="A480" s="82"/>
      <c r="B480" s="82"/>
    </row>
    <row r="481" spans="1:2" x14ac:dyDescent="0.2">
      <c r="A481" s="82"/>
      <c r="B481" s="82"/>
    </row>
    <row r="482" spans="1:2" x14ac:dyDescent="0.2">
      <c r="A482" s="82"/>
      <c r="B482" s="82"/>
    </row>
    <row r="483" spans="1:2" x14ac:dyDescent="0.2">
      <c r="A483" s="82"/>
      <c r="B483" s="82"/>
    </row>
    <row r="484" spans="1:2" x14ac:dyDescent="0.2">
      <c r="A484" s="82"/>
      <c r="B484" s="82"/>
    </row>
    <row r="485" spans="1:2" x14ac:dyDescent="0.2">
      <c r="A485" s="82"/>
      <c r="B485" s="82"/>
    </row>
    <row r="486" spans="1:2" x14ac:dyDescent="0.2">
      <c r="A486" s="82"/>
      <c r="B486" s="82"/>
    </row>
    <row r="487" spans="1:2" x14ac:dyDescent="0.2">
      <c r="A487" s="82"/>
      <c r="B487" s="82"/>
    </row>
    <row r="488" spans="1:2" x14ac:dyDescent="0.2">
      <c r="A488" s="82"/>
      <c r="B488" s="82"/>
    </row>
    <row r="489" spans="1:2" x14ac:dyDescent="0.2">
      <c r="A489" s="82"/>
      <c r="B489" s="82"/>
    </row>
    <row r="490" spans="1:2" x14ac:dyDescent="0.2">
      <c r="A490" s="82"/>
      <c r="B490" s="82"/>
    </row>
    <row r="491" spans="1:2" x14ac:dyDescent="0.2">
      <c r="A491" s="82"/>
      <c r="B491" s="82"/>
    </row>
    <row r="492" spans="1:2" x14ac:dyDescent="0.2">
      <c r="A492" s="82"/>
      <c r="B492" s="82"/>
    </row>
    <row r="493" spans="1:2" x14ac:dyDescent="0.2">
      <c r="A493" s="82"/>
      <c r="B493" s="82"/>
    </row>
    <row r="494" spans="1:2" x14ac:dyDescent="0.2">
      <c r="A494" s="82"/>
      <c r="B494" s="82"/>
    </row>
    <row r="495" spans="1:2" x14ac:dyDescent="0.2">
      <c r="A495" s="82"/>
      <c r="B495" s="82"/>
    </row>
    <row r="496" spans="1:2" x14ac:dyDescent="0.2">
      <c r="A496" s="82"/>
      <c r="B496" s="82"/>
    </row>
    <row r="497" spans="1:2" x14ac:dyDescent="0.2">
      <c r="A497" s="82"/>
      <c r="B497" s="82"/>
    </row>
    <row r="498" spans="1:2" x14ac:dyDescent="0.2">
      <c r="A498" s="82"/>
      <c r="B498" s="82"/>
    </row>
    <row r="499" spans="1:2" x14ac:dyDescent="0.2">
      <c r="A499" s="82"/>
      <c r="B499" s="82"/>
    </row>
    <row r="500" spans="1:2" x14ac:dyDescent="0.2">
      <c r="A500" s="82"/>
      <c r="B500" s="82"/>
    </row>
    <row r="501" spans="1:2" x14ac:dyDescent="0.2">
      <c r="A501" s="82"/>
      <c r="B501" s="82"/>
    </row>
    <row r="502" spans="1:2" x14ac:dyDescent="0.2">
      <c r="A502" s="82"/>
      <c r="B502" s="82"/>
    </row>
    <row r="503" spans="1:2" x14ac:dyDescent="0.2">
      <c r="A503" s="82"/>
      <c r="B503" s="82"/>
    </row>
    <row r="504" spans="1:2" x14ac:dyDescent="0.2">
      <c r="A504" s="82"/>
      <c r="B504" s="82"/>
    </row>
    <row r="505" spans="1:2" x14ac:dyDescent="0.2">
      <c r="A505" s="82"/>
      <c r="B505" s="82"/>
    </row>
    <row r="506" spans="1:2" x14ac:dyDescent="0.2">
      <c r="A506" s="82"/>
      <c r="B506" s="82"/>
    </row>
    <row r="507" spans="1:2" x14ac:dyDescent="0.2">
      <c r="A507" s="82"/>
      <c r="B507" s="82"/>
    </row>
    <row r="508" spans="1:2" x14ac:dyDescent="0.2">
      <c r="A508" s="82"/>
      <c r="B508" s="82"/>
    </row>
    <row r="509" spans="1:2" x14ac:dyDescent="0.2">
      <c r="A509" s="82"/>
      <c r="B509" s="82"/>
    </row>
    <row r="510" spans="1:2" x14ac:dyDescent="0.2">
      <c r="A510" s="82"/>
      <c r="B510" s="82"/>
    </row>
    <row r="511" spans="1:2" x14ac:dyDescent="0.2">
      <c r="A511" s="82"/>
      <c r="B511" s="82"/>
    </row>
    <row r="512" spans="1:2" x14ac:dyDescent="0.2">
      <c r="A512" s="82"/>
      <c r="B512" s="82"/>
    </row>
    <row r="513" spans="1:2" x14ac:dyDescent="0.2">
      <c r="A513" s="82"/>
      <c r="B513" s="82"/>
    </row>
    <row r="514" spans="1:2" x14ac:dyDescent="0.2">
      <c r="A514" s="82"/>
      <c r="B514" s="82"/>
    </row>
    <row r="515" spans="1:2" x14ac:dyDescent="0.2">
      <c r="A515" s="82"/>
      <c r="B515" s="82"/>
    </row>
    <row r="516" spans="1:2" x14ac:dyDescent="0.2">
      <c r="A516" s="82"/>
      <c r="B516" s="82"/>
    </row>
    <row r="517" spans="1:2" x14ac:dyDescent="0.2">
      <c r="A517" s="82"/>
      <c r="B517" s="82"/>
    </row>
    <row r="518" spans="1:2" x14ac:dyDescent="0.2">
      <c r="A518" s="82"/>
      <c r="B518" s="82"/>
    </row>
    <row r="519" spans="1:2" x14ac:dyDescent="0.2">
      <c r="A519" s="82"/>
      <c r="B519" s="82"/>
    </row>
    <row r="520" spans="1:2" x14ac:dyDescent="0.2">
      <c r="A520" s="82"/>
      <c r="B520" s="82"/>
    </row>
    <row r="521" spans="1:2" x14ac:dyDescent="0.2">
      <c r="A521" s="82"/>
      <c r="B521" s="82"/>
    </row>
    <row r="522" spans="1:2" x14ac:dyDescent="0.2">
      <c r="A522" s="82"/>
      <c r="B522" s="82"/>
    </row>
    <row r="523" spans="1:2" x14ac:dyDescent="0.2">
      <c r="A523" s="82"/>
      <c r="B523" s="82"/>
    </row>
    <row r="524" spans="1:2" x14ac:dyDescent="0.2">
      <c r="A524" s="82"/>
      <c r="B524" s="82"/>
    </row>
    <row r="525" spans="1:2" x14ac:dyDescent="0.2">
      <c r="A525" s="82"/>
      <c r="B525" s="82"/>
    </row>
    <row r="526" spans="1:2" x14ac:dyDescent="0.2">
      <c r="A526" s="82"/>
      <c r="B526" s="82"/>
    </row>
    <row r="527" spans="1:2" x14ac:dyDescent="0.2">
      <c r="A527" s="82"/>
      <c r="B527" s="82"/>
    </row>
    <row r="528" spans="1:2" x14ac:dyDescent="0.2">
      <c r="A528" s="82"/>
      <c r="B528" s="82"/>
    </row>
    <row r="529" spans="1:2" x14ac:dyDescent="0.2">
      <c r="A529" s="82"/>
      <c r="B529" s="82"/>
    </row>
    <row r="530" spans="1:2" x14ac:dyDescent="0.2">
      <c r="A530" s="82"/>
      <c r="B530" s="82"/>
    </row>
    <row r="531" spans="1:2" x14ac:dyDescent="0.2">
      <c r="A531" s="82"/>
      <c r="B531" s="82"/>
    </row>
    <row r="532" spans="1:2" x14ac:dyDescent="0.2">
      <c r="A532" s="82"/>
      <c r="B532" s="82"/>
    </row>
    <row r="533" spans="1:2" x14ac:dyDescent="0.2">
      <c r="A533" s="82"/>
      <c r="B533" s="82"/>
    </row>
    <row r="534" spans="1:2" x14ac:dyDescent="0.2">
      <c r="A534" s="82"/>
      <c r="B534" s="82"/>
    </row>
    <row r="535" spans="1:2" x14ac:dyDescent="0.2">
      <c r="A535" s="82"/>
      <c r="B535" s="82"/>
    </row>
    <row r="536" spans="1:2" x14ac:dyDescent="0.2">
      <c r="A536" s="82"/>
      <c r="B536" s="82"/>
    </row>
    <row r="537" spans="1:2" x14ac:dyDescent="0.2">
      <c r="A537" s="82"/>
      <c r="B537" s="82"/>
    </row>
    <row r="538" spans="1:2" x14ac:dyDescent="0.2">
      <c r="A538" s="82"/>
      <c r="B538" s="82"/>
    </row>
    <row r="539" spans="1:2" x14ac:dyDescent="0.2">
      <c r="A539" s="82"/>
      <c r="B539" s="82"/>
    </row>
    <row r="540" spans="1:2" x14ac:dyDescent="0.2">
      <c r="A540" s="82"/>
      <c r="B540" s="82"/>
    </row>
    <row r="541" spans="1:2" x14ac:dyDescent="0.2">
      <c r="A541" s="82"/>
      <c r="B541" s="82"/>
    </row>
    <row r="542" spans="1:2" x14ac:dyDescent="0.2">
      <c r="A542" s="82"/>
      <c r="B542" s="82"/>
    </row>
    <row r="543" spans="1:2" x14ac:dyDescent="0.2">
      <c r="A543" s="82"/>
      <c r="B543" s="82"/>
    </row>
    <row r="544" spans="1:2" x14ac:dyDescent="0.2">
      <c r="A544" s="82"/>
      <c r="B544" s="82"/>
    </row>
    <row r="545" spans="1:2" x14ac:dyDescent="0.2">
      <c r="A545" s="82"/>
      <c r="B545" s="82"/>
    </row>
    <row r="546" spans="1:2" x14ac:dyDescent="0.2">
      <c r="A546" s="82"/>
      <c r="B546" s="82"/>
    </row>
    <row r="547" spans="1:2" x14ac:dyDescent="0.2">
      <c r="A547" s="82"/>
      <c r="B547" s="82"/>
    </row>
    <row r="548" spans="1:2" x14ac:dyDescent="0.2">
      <c r="A548" s="82"/>
      <c r="B548" s="82"/>
    </row>
    <row r="549" spans="1:2" x14ac:dyDescent="0.2">
      <c r="A549" s="82"/>
      <c r="B549" s="82"/>
    </row>
    <row r="550" spans="1:2" x14ac:dyDescent="0.2">
      <c r="A550" s="82"/>
      <c r="B550" s="82"/>
    </row>
    <row r="551" spans="1:2" x14ac:dyDescent="0.2">
      <c r="A551" s="82"/>
      <c r="B551" s="82"/>
    </row>
    <row r="552" spans="1:2" x14ac:dyDescent="0.2">
      <c r="A552" s="82"/>
      <c r="B552" s="82"/>
    </row>
    <row r="553" spans="1:2" x14ac:dyDescent="0.2">
      <c r="A553" s="82"/>
      <c r="B553" s="82"/>
    </row>
    <row r="554" spans="1:2" x14ac:dyDescent="0.2">
      <c r="A554" s="82"/>
      <c r="B554" s="82"/>
    </row>
    <row r="555" spans="1:2" x14ac:dyDescent="0.2">
      <c r="A555" s="82"/>
      <c r="B555" s="82"/>
    </row>
    <row r="556" spans="1:2" x14ac:dyDescent="0.2">
      <c r="A556" s="82"/>
      <c r="B556" s="82"/>
    </row>
    <row r="557" spans="1:2" x14ac:dyDescent="0.2">
      <c r="A557" s="82"/>
      <c r="B557" s="82"/>
    </row>
    <row r="558" spans="1:2" x14ac:dyDescent="0.2">
      <c r="A558" s="82"/>
      <c r="B558" s="82"/>
    </row>
    <row r="559" spans="1:2" x14ac:dyDescent="0.2">
      <c r="A559" s="82"/>
      <c r="B559" s="82"/>
    </row>
    <row r="560" spans="1:2" x14ac:dyDescent="0.2">
      <c r="A560" s="82"/>
      <c r="B560" s="82"/>
    </row>
    <row r="561" spans="1:2" x14ac:dyDescent="0.2">
      <c r="A561" s="82"/>
      <c r="B561" s="82"/>
    </row>
    <row r="562" spans="1:2" x14ac:dyDescent="0.2">
      <c r="A562" s="82"/>
      <c r="B562" s="82"/>
    </row>
    <row r="563" spans="1:2" x14ac:dyDescent="0.2">
      <c r="A563" s="82"/>
      <c r="B563" s="82"/>
    </row>
    <row r="564" spans="1:2" x14ac:dyDescent="0.2">
      <c r="A564" s="82"/>
      <c r="B564" s="82"/>
    </row>
    <row r="565" spans="1:2" x14ac:dyDescent="0.2">
      <c r="A565" s="82"/>
      <c r="B565" s="82"/>
    </row>
    <row r="566" spans="1:2" x14ac:dyDescent="0.2">
      <c r="A566" s="82"/>
      <c r="B566" s="82"/>
    </row>
    <row r="567" spans="1:2" x14ac:dyDescent="0.2">
      <c r="A567" s="82"/>
      <c r="B567" s="82"/>
    </row>
    <row r="568" spans="1:2" x14ac:dyDescent="0.2">
      <c r="A568" s="82"/>
      <c r="B568" s="82"/>
    </row>
    <row r="569" spans="1:2" x14ac:dyDescent="0.2">
      <c r="A569" s="82"/>
      <c r="B569" s="82"/>
    </row>
    <row r="570" spans="1:2" x14ac:dyDescent="0.2">
      <c r="A570" s="82"/>
      <c r="B570" s="82"/>
    </row>
    <row r="571" spans="1:2" x14ac:dyDescent="0.2">
      <c r="A571" s="82"/>
      <c r="B571" s="82"/>
    </row>
    <row r="572" spans="1:2" x14ac:dyDescent="0.2">
      <c r="A572" s="82"/>
      <c r="B572" s="82"/>
    </row>
    <row r="573" spans="1:2" x14ac:dyDescent="0.2">
      <c r="A573" s="82"/>
      <c r="B573" s="82"/>
    </row>
    <row r="574" spans="1:2" x14ac:dyDescent="0.2">
      <c r="A574" s="82"/>
      <c r="B574" s="82"/>
    </row>
    <row r="575" spans="1:2" x14ac:dyDescent="0.2">
      <c r="A575" s="82"/>
      <c r="B575" s="82"/>
    </row>
    <row r="576" spans="1:2" x14ac:dyDescent="0.2">
      <c r="A576" s="82"/>
      <c r="B576" s="82"/>
    </row>
    <row r="577" spans="1:2" x14ac:dyDescent="0.2">
      <c r="A577" s="82"/>
      <c r="B577" s="82"/>
    </row>
    <row r="578" spans="1:2" x14ac:dyDescent="0.2">
      <c r="A578" s="82"/>
      <c r="B578" s="82"/>
    </row>
    <row r="579" spans="1:2" x14ac:dyDescent="0.2">
      <c r="A579" s="82"/>
      <c r="B579" s="82"/>
    </row>
    <row r="580" spans="1:2" x14ac:dyDescent="0.2">
      <c r="A580" s="82"/>
      <c r="B580" s="82"/>
    </row>
    <row r="581" spans="1:2" x14ac:dyDescent="0.2">
      <c r="A581" s="82"/>
      <c r="B581" s="82"/>
    </row>
    <row r="582" spans="1:2" x14ac:dyDescent="0.2">
      <c r="A582" s="82"/>
      <c r="B582" s="82"/>
    </row>
    <row r="583" spans="1:2" x14ac:dyDescent="0.2">
      <c r="A583" s="82"/>
      <c r="B583" s="82"/>
    </row>
    <row r="584" spans="1:2" x14ac:dyDescent="0.2">
      <c r="A584" s="82"/>
      <c r="B584" s="82"/>
    </row>
    <row r="585" spans="1:2" x14ac:dyDescent="0.2">
      <c r="A585" s="82"/>
      <c r="B585" s="82"/>
    </row>
    <row r="586" spans="1:2" x14ac:dyDescent="0.2">
      <c r="A586" s="82"/>
      <c r="B586" s="82"/>
    </row>
    <row r="587" spans="1:2" x14ac:dyDescent="0.2">
      <c r="A587" s="82"/>
      <c r="B587" s="82"/>
    </row>
    <row r="588" spans="1:2" x14ac:dyDescent="0.2">
      <c r="A588" s="82"/>
      <c r="B588" s="82"/>
    </row>
    <row r="589" spans="1:2" x14ac:dyDescent="0.2">
      <c r="A589" s="82"/>
      <c r="B589" s="82"/>
    </row>
    <row r="590" spans="1:2" x14ac:dyDescent="0.2">
      <c r="A590" s="82"/>
      <c r="B590" s="82"/>
    </row>
    <row r="591" spans="1:2" x14ac:dyDescent="0.2">
      <c r="A591" s="82"/>
      <c r="B591" s="82"/>
    </row>
    <row r="592" spans="1:2" x14ac:dyDescent="0.2">
      <c r="A592" s="82"/>
      <c r="B592" s="82"/>
    </row>
    <row r="593" spans="1:2" x14ac:dyDescent="0.2">
      <c r="A593" s="82"/>
      <c r="B593" s="82"/>
    </row>
    <row r="594" spans="1:2" x14ac:dyDescent="0.2">
      <c r="A594" s="82"/>
      <c r="B594" s="82"/>
    </row>
    <row r="595" spans="1:2" x14ac:dyDescent="0.2">
      <c r="A595" s="82"/>
      <c r="B595" s="82"/>
    </row>
    <row r="596" spans="1:2" x14ac:dyDescent="0.2">
      <c r="A596" s="82"/>
      <c r="B596" s="82"/>
    </row>
    <row r="597" spans="1:2" x14ac:dyDescent="0.2">
      <c r="A597" s="82"/>
      <c r="B597" s="82"/>
    </row>
    <row r="598" spans="1:2" x14ac:dyDescent="0.2">
      <c r="A598" s="82"/>
      <c r="B598" s="82"/>
    </row>
    <row r="599" spans="1:2" x14ac:dyDescent="0.2">
      <c r="A599" s="82"/>
      <c r="B599" s="82"/>
    </row>
    <row r="600" spans="1:2" x14ac:dyDescent="0.2">
      <c r="A600" s="82"/>
      <c r="B600" s="82"/>
    </row>
    <row r="601" spans="1:2" x14ac:dyDescent="0.2">
      <c r="A601" s="82"/>
      <c r="B601" s="82"/>
    </row>
    <row r="602" spans="1:2" x14ac:dyDescent="0.2">
      <c r="A602" s="82"/>
      <c r="B602" s="82"/>
    </row>
    <row r="603" spans="1:2" x14ac:dyDescent="0.2">
      <c r="A603" s="82"/>
      <c r="B603" s="82"/>
    </row>
    <row r="604" spans="1:2" x14ac:dyDescent="0.2">
      <c r="A604" s="82"/>
      <c r="B604" s="82"/>
    </row>
    <row r="605" spans="1:2" x14ac:dyDescent="0.2">
      <c r="A605" s="82"/>
      <c r="B605" s="82"/>
    </row>
    <row r="606" spans="1:2" x14ac:dyDescent="0.2">
      <c r="A606" s="82"/>
      <c r="B606" s="82"/>
    </row>
    <row r="607" spans="1:2" x14ac:dyDescent="0.2">
      <c r="A607" s="82"/>
      <c r="B607" s="82"/>
    </row>
    <row r="608" spans="1:2" x14ac:dyDescent="0.2">
      <c r="A608" s="82"/>
      <c r="B608" s="82"/>
    </row>
    <row r="609" spans="1:2" x14ac:dyDescent="0.2">
      <c r="A609" s="82"/>
      <c r="B609" s="82"/>
    </row>
    <row r="610" spans="1:2" x14ac:dyDescent="0.2">
      <c r="A610" s="82"/>
      <c r="B610" s="82"/>
    </row>
    <row r="611" spans="1:2" x14ac:dyDescent="0.2">
      <c r="A611" s="82"/>
      <c r="B611" s="82"/>
    </row>
    <row r="612" spans="1:2" x14ac:dyDescent="0.2">
      <c r="A612" s="82"/>
      <c r="B612" s="82"/>
    </row>
    <row r="613" spans="1:2" x14ac:dyDescent="0.2">
      <c r="A613" s="82"/>
      <c r="B613" s="82"/>
    </row>
    <row r="614" spans="1:2" x14ac:dyDescent="0.2">
      <c r="A614" s="82"/>
      <c r="B614" s="82"/>
    </row>
    <row r="615" spans="1:2" x14ac:dyDescent="0.2">
      <c r="A615" s="82"/>
      <c r="B615" s="82"/>
    </row>
    <row r="616" spans="1:2" x14ac:dyDescent="0.2">
      <c r="A616" s="82"/>
      <c r="B616" s="82"/>
    </row>
    <row r="617" spans="1:2" x14ac:dyDescent="0.2">
      <c r="A617" s="82"/>
      <c r="B617" s="82"/>
    </row>
    <row r="618" spans="1:2" x14ac:dyDescent="0.2">
      <c r="A618" s="82"/>
      <c r="B618" s="82"/>
    </row>
    <row r="619" spans="1:2" x14ac:dyDescent="0.2">
      <c r="A619" s="82"/>
      <c r="B619" s="82"/>
    </row>
    <row r="620" spans="1:2" x14ac:dyDescent="0.2">
      <c r="A620" s="82"/>
      <c r="B620" s="82"/>
    </row>
    <row r="621" spans="1:2" x14ac:dyDescent="0.2">
      <c r="A621" s="82"/>
      <c r="B621" s="82"/>
    </row>
    <row r="622" spans="1:2" x14ac:dyDescent="0.2">
      <c r="A622" s="82"/>
      <c r="B622" s="82"/>
    </row>
    <row r="623" spans="1:2" x14ac:dyDescent="0.2">
      <c r="A623" s="82"/>
      <c r="B623" s="82"/>
    </row>
    <row r="624" spans="1:2" x14ac:dyDescent="0.2">
      <c r="A624" s="82"/>
      <c r="B624" s="82"/>
    </row>
    <row r="625" spans="1:2" x14ac:dyDescent="0.2">
      <c r="A625" s="82"/>
      <c r="B625" s="82"/>
    </row>
    <row r="626" spans="1:2" x14ac:dyDescent="0.2">
      <c r="A626" s="82"/>
      <c r="B626" s="82"/>
    </row>
    <row r="627" spans="1:2" x14ac:dyDescent="0.2">
      <c r="A627" s="82"/>
      <c r="B627" s="82"/>
    </row>
    <row r="628" spans="1:2" x14ac:dyDescent="0.2">
      <c r="A628" s="82"/>
      <c r="B628" s="82"/>
    </row>
    <row r="629" spans="1:2" x14ac:dyDescent="0.2">
      <c r="A629" s="82"/>
      <c r="B629" s="82"/>
    </row>
    <row r="630" spans="1:2" x14ac:dyDescent="0.2">
      <c r="A630" s="82"/>
      <c r="B630" s="82"/>
    </row>
    <row r="631" spans="1:2" x14ac:dyDescent="0.2">
      <c r="A631" s="82"/>
      <c r="B631" s="82"/>
    </row>
    <row r="632" spans="1:2" x14ac:dyDescent="0.2">
      <c r="A632" s="82"/>
      <c r="B632" s="82"/>
    </row>
    <row r="633" spans="1:2" x14ac:dyDescent="0.2">
      <c r="A633" s="82"/>
      <c r="B633" s="82"/>
    </row>
    <row r="634" spans="1:2" x14ac:dyDescent="0.2">
      <c r="A634" s="82"/>
      <c r="B634" s="82"/>
    </row>
    <row r="635" spans="1:2" x14ac:dyDescent="0.2">
      <c r="A635" s="82"/>
      <c r="B635" s="82"/>
    </row>
    <row r="636" spans="1:2" x14ac:dyDescent="0.2">
      <c r="A636" s="82"/>
      <c r="B636" s="82"/>
    </row>
    <row r="637" spans="1:2" x14ac:dyDescent="0.2">
      <c r="A637" s="82"/>
      <c r="B637" s="82"/>
    </row>
    <row r="638" spans="1:2" x14ac:dyDescent="0.2">
      <c r="A638" s="82"/>
      <c r="B638" s="82"/>
    </row>
    <row r="639" spans="1:2" x14ac:dyDescent="0.2">
      <c r="A639" s="82"/>
      <c r="B639" s="82"/>
    </row>
    <row r="640" spans="1:2" x14ac:dyDescent="0.2">
      <c r="A640" s="82"/>
      <c r="B640" s="82"/>
    </row>
    <row r="641" spans="1:2" x14ac:dyDescent="0.2">
      <c r="A641" s="82"/>
      <c r="B641" s="82"/>
    </row>
    <row r="642" spans="1:2" x14ac:dyDescent="0.2">
      <c r="A642" s="82"/>
      <c r="B642" s="82"/>
    </row>
    <row r="643" spans="1:2" x14ac:dyDescent="0.2">
      <c r="A643" s="82"/>
      <c r="B643" s="82"/>
    </row>
    <row r="644" spans="1:2" x14ac:dyDescent="0.2">
      <c r="A644" s="82"/>
      <c r="B644" s="82"/>
    </row>
    <row r="645" spans="1:2" x14ac:dyDescent="0.2">
      <c r="A645" s="82"/>
      <c r="B645" s="82"/>
    </row>
    <row r="646" spans="1:2" x14ac:dyDescent="0.2">
      <c r="A646" s="82"/>
      <c r="B646" s="82"/>
    </row>
    <row r="647" spans="1:2" x14ac:dyDescent="0.2">
      <c r="A647" s="82"/>
      <c r="B647" s="82"/>
    </row>
    <row r="648" spans="1:2" x14ac:dyDescent="0.2">
      <c r="A648" s="82"/>
      <c r="B648" s="82"/>
    </row>
    <row r="649" spans="1:2" x14ac:dyDescent="0.2">
      <c r="A649" s="82"/>
      <c r="B649" s="82"/>
    </row>
    <row r="650" spans="1:2" x14ac:dyDescent="0.2">
      <c r="A650" s="82"/>
      <c r="B650" s="82"/>
    </row>
    <row r="651" spans="1:2" x14ac:dyDescent="0.2">
      <c r="A651" s="82"/>
      <c r="B651" s="82"/>
    </row>
    <row r="652" spans="1:2" x14ac:dyDescent="0.2">
      <c r="A652" s="82"/>
      <c r="B652" s="82"/>
    </row>
    <row r="653" spans="1:2" x14ac:dyDescent="0.2">
      <c r="A653" s="82"/>
      <c r="B653" s="82"/>
    </row>
    <row r="654" spans="1:2" x14ac:dyDescent="0.2">
      <c r="A654" s="82"/>
      <c r="B654" s="82"/>
    </row>
    <row r="655" spans="1:2" x14ac:dyDescent="0.2">
      <c r="A655" s="82"/>
      <c r="B655" s="82"/>
    </row>
    <row r="656" spans="1:2" x14ac:dyDescent="0.2">
      <c r="A656" s="82"/>
      <c r="B656" s="82"/>
    </row>
    <row r="657" spans="1:2" x14ac:dyDescent="0.2">
      <c r="A657" s="82"/>
      <c r="B657" s="82"/>
    </row>
    <row r="658" spans="1:2" x14ac:dyDescent="0.2">
      <c r="A658" s="82"/>
      <c r="B658" s="82"/>
    </row>
    <row r="659" spans="1:2" x14ac:dyDescent="0.2">
      <c r="A659" s="82"/>
      <c r="B659" s="82"/>
    </row>
    <row r="660" spans="1:2" x14ac:dyDescent="0.2">
      <c r="A660" s="82"/>
      <c r="B660" s="82"/>
    </row>
    <row r="661" spans="1:2" x14ac:dyDescent="0.2">
      <c r="A661" s="82"/>
      <c r="B661" s="82"/>
    </row>
    <row r="662" spans="1:2" x14ac:dyDescent="0.2">
      <c r="A662" s="82"/>
      <c r="B662" s="82"/>
    </row>
    <row r="663" spans="1:2" x14ac:dyDescent="0.2">
      <c r="A663" s="82"/>
      <c r="B663" s="82"/>
    </row>
    <row r="664" spans="1:2" x14ac:dyDescent="0.2">
      <c r="A664" s="82"/>
      <c r="B664" s="82"/>
    </row>
    <row r="665" spans="1:2" x14ac:dyDescent="0.2">
      <c r="A665" s="82"/>
      <c r="B665" s="82"/>
    </row>
    <row r="666" spans="1:2" x14ac:dyDescent="0.2">
      <c r="A666" s="82"/>
      <c r="B666" s="82"/>
    </row>
    <row r="667" spans="1:2" x14ac:dyDescent="0.2">
      <c r="A667" s="82"/>
      <c r="B667" s="82"/>
    </row>
    <row r="668" spans="1:2" x14ac:dyDescent="0.2">
      <c r="A668" s="82"/>
      <c r="B668" s="82"/>
    </row>
    <row r="669" spans="1:2" x14ac:dyDescent="0.2">
      <c r="A669" s="82"/>
      <c r="B669" s="82"/>
    </row>
    <row r="670" spans="1:2" x14ac:dyDescent="0.2">
      <c r="A670" s="82"/>
      <c r="B670" s="82"/>
    </row>
    <row r="671" spans="1:2" x14ac:dyDescent="0.2">
      <c r="A671" s="82"/>
      <c r="B671" s="82"/>
    </row>
    <row r="672" spans="1:2" x14ac:dyDescent="0.2">
      <c r="A672" s="82"/>
      <c r="B672" s="82"/>
    </row>
    <row r="673" spans="1:2" x14ac:dyDescent="0.2">
      <c r="A673" s="82"/>
      <c r="B673" s="82"/>
    </row>
    <row r="674" spans="1:2" x14ac:dyDescent="0.2">
      <c r="A674" s="82"/>
      <c r="B674" s="82"/>
    </row>
    <row r="675" spans="1:2" x14ac:dyDescent="0.2">
      <c r="A675" s="82"/>
      <c r="B675" s="82"/>
    </row>
    <row r="676" spans="1:2" x14ac:dyDescent="0.2">
      <c r="A676" s="82"/>
      <c r="B676" s="82"/>
    </row>
    <row r="677" spans="1:2" x14ac:dyDescent="0.2">
      <c r="A677" s="82"/>
      <c r="B677" s="82"/>
    </row>
    <row r="678" spans="1:2" x14ac:dyDescent="0.2">
      <c r="A678" s="82"/>
      <c r="B678" s="82"/>
    </row>
    <row r="679" spans="1:2" x14ac:dyDescent="0.2">
      <c r="A679" s="82"/>
      <c r="B679" s="82"/>
    </row>
    <row r="680" spans="1:2" x14ac:dyDescent="0.2">
      <c r="A680" s="82"/>
      <c r="B680" s="82"/>
    </row>
    <row r="681" spans="1:2" x14ac:dyDescent="0.2">
      <c r="A681" s="82"/>
      <c r="B681" s="82"/>
    </row>
    <row r="682" spans="1:2" x14ac:dyDescent="0.2">
      <c r="A682" s="82"/>
      <c r="B682" s="82"/>
    </row>
    <row r="683" spans="1:2" x14ac:dyDescent="0.2">
      <c r="A683" s="82"/>
      <c r="B683" s="82"/>
    </row>
    <row r="684" spans="1:2" x14ac:dyDescent="0.2">
      <c r="A684" s="82"/>
      <c r="B684" s="82"/>
    </row>
    <row r="685" spans="1:2" x14ac:dyDescent="0.2">
      <c r="A685" s="82"/>
      <c r="B685" s="82"/>
    </row>
    <row r="686" spans="1:2" x14ac:dyDescent="0.2">
      <c r="A686" s="82"/>
      <c r="B686" s="82"/>
    </row>
    <row r="687" spans="1:2" x14ac:dyDescent="0.2">
      <c r="A687" s="82"/>
      <c r="B687" s="82"/>
    </row>
    <row r="688" spans="1:2" x14ac:dyDescent="0.2">
      <c r="A688" s="82"/>
      <c r="B688" s="82"/>
    </row>
    <row r="689" spans="1:2" x14ac:dyDescent="0.2">
      <c r="A689" s="82"/>
      <c r="B689" s="82"/>
    </row>
    <row r="690" spans="1:2" x14ac:dyDescent="0.2">
      <c r="A690" s="82"/>
      <c r="B690" s="82"/>
    </row>
    <row r="691" spans="1:2" x14ac:dyDescent="0.2">
      <c r="A691" s="82"/>
      <c r="B691" s="82"/>
    </row>
    <row r="692" spans="1:2" x14ac:dyDescent="0.2">
      <c r="A692" s="82"/>
      <c r="B692" s="82"/>
    </row>
    <row r="693" spans="1:2" x14ac:dyDescent="0.2">
      <c r="A693" s="82"/>
      <c r="B693" s="82"/>
    </row>
    <row r="694" spans="1:2" x14ac:dyDescent="0.2">
      <c r="A694" s="82"/>
      <c r="B694" s="82"/>
    </row>
    <row r="695" spans="1:2" x14ac:dyDescent="0.2">
      <c r="A695" s="82"/>
      <c r="B695" s="82"/>
    </row>
    <row r="696" spans="1:2" x14ac:dyDescent="0.2">
      <c r="A696" s="82"/>
      <c r="B696" s="82"/>
    </row>
    <row r="697" spans="1:2" x14ac:dyDescent="0.2">
      <c r="A697" s="82"/>
      <c r="B697" s="82"/>
    </row>
    <row r="698" spans="1:2" x14ac:dyDescent="0.2">
      <c r="A698" s="82"/>
      <c r="B698" s="82"/>
    </row>
    <row r="699" spans="1:2" x14ac:dyDescent="0.2">
      <c r="A699" s="82"/>
      <c r="B699" s="82"/>
    </row>
    <row r="700" spans="1:2" x14ac:dyDescent="0.2">
      <c r="A700" s="82"/>
      <c r="B700" s="82"/>
    </row>
    <row r="701" spans="1:2" x14ac:dyDescent="0.2">
      <c r="A701" s="82"/>
      <c r="B701" s="82"/>
    </row>
    <row r="702" spans="1:2" x14ac:dyDescent="0.2">
      <c r="A702" s="82"/>
      <c r="B702" s="82"/>
    </row>
    <row r="703" spans="1:2" x14ac:dyDescent="0.2">
      <c r="A703" s="82"/>
      <c r="B703" s="82"/>
    </row>
    <row r="704" spans="1:2" x14ac:dyDescent="0.2">
      <c r="A704" s="82"/>
      <c r="B704" s="82"/>
    </row>
    <row r="705" spans="1:2" x14ac:dyDescent="0.2">
      <c r="A705" s="82"/>
      <c r="B705" s="82"/>
    </row>
    <row r="706" spans="1:2" x14ac:dyDescent="0.2">
      <c r="A706" s="82"/>
      <c r="B706" s="82"/>
    </row>
    <row r="707" spans="1:2" x14ac:dyDescent="0.2">
      <c r="A707" s="82"/>
      <c r="B707" s="82"/>
    </row>
    <row r="708" spans="1:2" x14ac:dyDescent="0.2">
      <c r="A708" s="82"/>
      <c r="B708" s="82"/>
    </row>
    <row r="709" spans="1:2" x14ac:dyDescent="0.2">
      <c r="A709" s="82"/>
      <c r="B709" s="82"/>
    </row>
    <row r="710" spans="1:2" x14ac:dyDescent="0.2">
      <c r="A710" s="82"/>
      <c r="B710" s="82"/>
    </row>
    <row r="711" spans="1:2" x14ac:dyDescent="0.2">
      <c r="A711" s="82"/>
      <c r="B711" s="82"/>
    </row>
    <row r="712" spans="1:2" x14ac:dyDescent="0.2">
      <c r="A712" s="82"/>
      <c r="B712" s="82"/>
    </row>
    <row r="713" spans="1:2" x14ac:dyDescent="0.2">
      <c r="A713" s="82"/>
      <c r="B713" s="82"/>
    </row>
    <row r="714" spans="1:2" x14ac:dyDescent="0.2">
      <c r="A714" s="82"/>
      <c r="B714" s="82"/>
    </row>
    <row r="715" spans="1:2" x14ac:dyDescent="0.2">
      <c r="A715" s="82"/>
      <c r="B715" s="82"/>
    </row>
    <row r="716" spans="1:2" x14ac:dyDescent="0.2">
      <c r="A716" s="82"/>
      <c r="B716" s="82"/>
    </row>
    <row r="717" spans="1:2" x14ac:dyDescent="0.2">
      <c r="A717" s="82"/>
      <c r="B717" s="82"/>
    </row>
    <row r="718" spans="1:2" x14ac:dyDescent="0.2">
      <c r="A718" s="82"/>
      <c r="B718" s="82"/>
    </row>
    <row r="719" spans="1:2" x14ac:dyDescent="0.2">
      <c r="A719" s="82"/>
      <c r="B719" s="82"/>
    </row>
    <row r="720" spans="1:2" x14ac:dyDescent="0.2">
      <c r="A720" s="82"/>
      <c r="B720" s="82"/>
    </row>
    <row r="721" spans="1:2" x14ac:dyDescent="0.2">
      <c r="A721" s="82"/>
      <c r="B721" s="82"/>
    </row>
    <row r="722" spans="1:2" x14ac:dyDescent="0.2">
      <c r="A722" s="82"/>
      <c r="B722" s="82"/>
    </row>
    <row r="723" spans="1:2" x14ac:dyDescent="0.2">
      <c r="A723" s="82"/>
      <c r="B723" s="82"/>
    </row>
    <row r="724" spans="1:2" x14ac:dyDescent="0.2">
      <c r="A724" s="82"/>
      <c r="B724" s="82"/>
    </row>
    <row r="725" spans="1:2" x14ac:dyDescent="0.2">
      <c r="A725" s="82"/>
      <c r="B725" s="82"/>
    </row>
    <row r="726" spans="1:2" x14ac:dyDescent="0.2">
      <c r="A726" s="82"/>
      <c r="B726" s="82"/>
    </row>
    <row r="727" spans="1:2" x14ac:dyDescent="0.2">
      <c r="A727" s="82"/>
      <c r="B727" s="82"/>
    </row>
    <row r="728" spans="1:2" x14ac:dyDescent="0.2">
      <c r="A728" s="82"/>
      <c r="B728" s="82"/>
    </row>
    <row r="729" spans="1:2" x14ac:dyDescent="0.2">
      <c r="A729" s="82"/>
      <c r="B729" s="82"/>
    </row>
    <row r="730" spans="1:2" x14ac:dyDescent="0.2">
      <c r="A730" s="82"/>
      <c r="B730" s="82"/>
    </row>
    <row r="731" spans="1:2" x14ac:dyDescent="0.2">
      <c r="A731" s="82"/>
      <c r="B731" s="82"/>
    </row>
    <row r="732" spans="1:2" x14ac:dyDescent="0.2">
      <c r="A732" s="82"/>
      <c r="B732" s="82"/>
    </row>
    <row r="733" spans="1:2" x14ac:dyDescent="0.2">
      <c r="A733" s="82"/>
      <c r="B733" s="82"/>
    </row>
    <row r="734" spans="1:2" x14ac:dyDescent="0.2">
      <c r="A734" s="82"/>
      <c r="B734" s="82"/>
    </row>
    <row r="735" spans="1:2" x14ac:dyDescent="0.2">
      <c r="A735" s="82"/>
      <c r="B735" s="82"/>
    </row>
    <row r="736" spans="1:2" x14ac:dyDescent="0.2">
      <c r="A736" s="82"/>
      <c r="B736" s="82"/>
    </row>
    <row r="737" spans="1:2" x14ac:dyDescent="0.2">
      <c r="A737" s="82"/>
      <c r="B737" s="82"/>
    </row>
    <row r="738" spans="1:2" x14ac:dyDescent="0.2">
      <c r="A738" s="82"/>
      <c r="B738" s="82"/>
    </row>
    <row r="739" spans="1:2" x14ac:dyDescent="0.2">
      <c r="A739" s="82"/>
      <c r="B739" s="82"/>
    </row>
    <row r="740" spans="1:2" x14ac:dyDescent="0.2">
      <c r="A740" s="82"/>
      <c r="B740" s="82"/>
    </row>
    <row r="741" spans="1:2" x14ac:dyDescent="0.2">
      <c r="A741" s="82"/>
      <c r="B741" s="82"/>
    </row>
    <row r="742" spans="1:2" x14ac:dyDescent="0.2">
      <c r="A742" s="82"/>
      <c r="B742" s="82"/>
    </row>
    <row r="743" spans="1:2" x14ac:dyDescent="0.2">
      <c r="A743" s="82"/>
      <c r="B743" s="82"/>
    </row>
    <row r="744" spans="1:2" x14ac:dyDescent="0.2">
      <c r="A744" s="82"/>
      <c r="B744" s="82"/>
    </row>
    <row r="745" spans="1:2" x14ac:dyDescent="0.2">
      <c r="A745" s="82"/>
      <c r="B745" s="82"/>
    </row>
    <row r="746" spans="1:2" x14ac:dyDescent="0.2">
      <c r="A746" s="82"/>
      <c r="B746" s="82"/>
    </row>
    <row r="747" spans="1:2" x14ac:dyDescent="0.2">
      <c r="A747" s="82"/>
      <c r="B747" s="82"/>
    </row>
    <row r="748" spans="1:2" x14ac:dyDescent="0.2">
      <c r="A748" s="82"/>
      <c r="B748" s="82"/>
    </row>
    <row r="749" spans="1:2" x14ac:dyDescent="0.2">
      <c r="A749" s="82"/>
      <c r="B749" s="82"/>
    </row>
    <row r="750" spans="1:2" x14ac:dyDescent="0.2">
      <c r="A750" s="82"/>
      <c r="B750" s="82"/>
    </row>
    <row r="751" spans="1:2" x14ac:dyDescent="0.2">
      <c r="A751" s="82"/>
      <c r="B751" s="82"/>
    </row>
    <row r="752" spans="1:2" x14ac:dyDescent="0.2">
      <c r="A752" s="82"/>
      <c r="B752" s="82"/>
    </row>
    <row r="753" spans="1:2" x14ac:dyDescent="0.2">
      <c r="A753" s="82"/>
      <c r="B753" s="82"/>
    </row>
    <row r="754" spans="1:2" x14ac:dyDescent="0.2">
      <c r="A754" s="82"/>
      <c r="B754" s="82"/>
    </row>
    <row r="755" spans="1:2" x14ac:dyDescent="0.2">
      <c r="A755" s="82"/>
      <c r="B755" s="82"/>
    </row>
    <row r="756" spans="1:2" x14ac:dyDescent="0.2">
      <c r="A756" s="82"/>
      <c r="B756" s="82"/>
    </row>
    <row r="757" spans="1:2" x14ac:dyDescent="0.2">
      <c r="A757" s="82"/>
      <c r="B757" s="82"/>
    </row>
    <row r="758" spans="1:2" x14ac:dyDescent="0.2">
      <c r="A758" s="82"/>
      <c r="B758" s="82"/>
    </row>
    <row r="759" spans="1:2" x14ac:dyDescent="0.2">
      <c r="A759" s="82"/>
      <c r="B759" s="82"/>
    </row>
    <row r="760" spans="1:2" x14ac:dyDescent="0.2">
      <c r="A760" s="82"/>
      <c r="B760" s="82"/>
    </row>
    <row r="761" spans="1:2" x14ac:dyDescent="0.2">
      <c r="A761" s="82"/>
      <c r="B761" s="82"/>
    </row>
    <row r="762" spans="1:2" x14ac:dyDescent="0.2">
      <c r="A762" s="82"/>
      <c r="B762" s="82"/>
    </row>
    <row r="763" spans="1:2" x14ac:dyDescent="0.2">
      <c r="A763" s="82"/>
      <c r="B763" s="82"/>
    </row>
    <row r="764" spans="1:2" x14ac:dyDescent="0.2">
      <c r="A764" s="82"/>
      <c r="B764" s="82"/>
    </row>
    <row r="765" spans="1:2" x14ac:dyDescent="0.2">
      <c r="A765" s="82"/>
      <c r="B765" s="82"/>
    </row>
    <row r="766" spans="1:2" x14ac:dyDescent="0.2">
      <c r="A766" s="82"/>
      <c r="B766" s="82"/>
    </row>
    <row r="767" spans="1:2" x14ac:dyDescent="0.2">
      <c r="A767" s="82"/>
      <c r="B767" s="82"/>
    </row>
    <row r="768" spans="1:2" x14ac:dyDescent="0.2">
      <c r="A768" s="82"/>
      <c r="B768" s="82"/>
    </row>
    <row r="769" spans="1:2" x14ac:dyDescent="0.2">
      <c r="A769" s="82"/>
      <c r="B769" s="82"/>
    </row>
    <row r="770" spans="1:2" x14ac:dyDescent="0.2">
      <c r="A770" s="82"/>
      <c r="B770" s="82"/>
    </row>
    <row r="771" spans="1:2" x14ac:dyDescent="0.2">
      <c r="A771" s="82"/>
      <c r="B771" s="82"/>
    </row>
    <row r="772" spans="1:2" x14ac:dyDescent="0.2">
      <c r="A772" s="82"/>
      <c r="B772" s="82"/>
    </row>
    <row r="773" spans="1:2" x14ac:dyDescent="0.2">
      <c r="A773" s="82"/>
      <c r="B773" s="82"/>
    </row>
    <row r="774" spans="1:2" x14ac:dyDescent="0.2">
      <c r="A774" s="82"/>
      <c r="B774" s="82"/>
    </row>
    <row r="775" spans="1:2" x14ac:dyDescent="0.2">
      <c r="A775" s="82"/>
      <c r="B775" s="82"/>
    </row>
    <row r="776" spans="1:2" x14ac:dyDescent="0.2">
      <c r="A776" s="82"/>
      <c r="B776" s="82"/>
    </row>
    <row r="777" spans="1:2" x14ac:dyDescent="0.2">
      <c r="A777" s="82"/>
      <c r="B777" s="82"/>
    </row>
    <row r="778" spans="1:2" x14ac:dyDescent="0.2">
      <c r="A778" s="82"/>
      <c r="B778" s="82"/>
    </row>
    <row r="779" spans="1:2" x14ac:dyDescent="0.2">
      <c r="A779" s="82"/>
      <c r="B779" s="82"/>
    </row>
    <row r="780" spans="1:2" x14ac:dyDescent="0.2">
      <c r="A780" s="82"/>
      <c r="B780" s="82"/>
    </row>
    <row r="781" spans="1:2" x14ac:dyDescent="0.2">
      <c r="A781" s="82"/>
      <c r="B781" s="82"/>
    </row>
    <row r="782" spans="1:2" x14ac:dyDescent="0.2">
      <c r="A782" s="82"/>
      <c r="B782" s="82"/>
    </row>
    <row r="783" spans="1:2" x14ac:dyDescent="0.2">
      <c r="A783" s="82"/>
      <c r="B783" s="82"/>
    </row>
    <row r="784" spans="1:2" x14ac:dyDescent="0.2">
      <c r="A784" s="82"/>
      <c r="B784" s="82"/>
    </row>
    <row r="785" spans="1:2" x14ac:dyDescent="0.2">
      <c r="A785" s="82"/>
      <c r="B785" s="82"/>
    </row>
    <row r="786" spans="1:2" x14ac:dyDescent="0.2">
      <c r="A786" s="82"/>
      <c r="B786" s="82"/>
    </row>
    <row r="787" spans="1:2" x14ac:dyDescent="0.2">
      <c r="A787" s="82"/>
      <c r="B787" s="82"/>
    </row>
    <row r="788" spans="1:2" x14ac:dyDescent="0.2">
      <c r="A788" s="82"/>
      <c r="B788" s="82"/>
    </row>
    <row r="789" spans="1:2" x14ac:dyDescent="0.2">
      <c r="A789" s="82"/>
      <c r="B789" s="82"/>
    </row>
    <row r="790" spans="1:2" x14ac:dyDescent="0.2">
      <c r="A790" s="82"/>
      <c r="B790" s="82"/>
    </row>
    <row r="791" spans="1:2" x14ac:dyDescent="0.2">
      <c r="A791" s="82"/>
      <c r="B791" s="82"/>
    </row>
    <row r="792" spans="1:2" x14ac:dyDescent="0.2">
      <c r="A792" s="82"/>
      <c r="B792" s="82"/>
    </row>
    <row r="793" spans="1:2" x14ac:dyDescent="0.2">
      <c r="A793" s="82"/>
      <c r="B793" s="82"/>
    </row>
    <row r="794" spans="1:2" x14ac:dyDescent="0.2">
      <c r="A794" s="82"/>
      <c r="B794" s="82"/>
    </row>
    <row r="795" spans="1:2" x14ac:dyDescent="0.2">
      <c r="A795" s="82"/>
      <c r="B795" s="82"/>
    </row>
    <row r="796" spans="1:2" x14ac:dyDescent="0.2">
      <c r="A796" s="82"/>
      <c r="B796" s="82"/>
    </row>
    <row r="797" spans="1:2" x14ac:dyDescent="0.2">
      <c r="A797" s="82"/>
      <c r="B797" s="82"/>
    </row>
    <row r="798" spans="1:2" x14ac:dyDescent="0.2">
      <c r="A798" s="82"/>
      <c r="B798" s="82"/>
    </row>
    <row r="799" spans="1:2" x14ac:dyDescent="0.2">
      <c r="A799" s="82"/>
      <c r="B799" s="82"/>
    </row>
    <row r="800" spans="1:2" x14ac:dyDescent="0.2">
      <c r="A800" s="82"/>
      <c r="B800" s="82"/>
    </row>
    <row r="801" spans="1:2" x14ac:dyDescent="0.2">
      <c r="A801" s="82"/>
      <c r="B801" s="82"/>
    </row>
    <row r="802" spans="1:2" x14ac:dyDescent="0.2">
      <c r="A802" s="82"/>
      <c r="B802" s="82"/>
    </row>
    <row r="803" spans="1:2" x14ac:dyDescent="0.2">
      <c r="A803" s="82"/>
      <c r="B803" s="82"/>
    </row>
    <row r="804" spans="1:2" x14ac:dyDescent="0.2">
      <c r="A804" s="82"/>
      <c r="B804" s="82"/>
    </row>
    <row r="805" spans="1:2" x14ac:dyDescent="0.2">
      <c r="A805" s="82"/>
      <c r="B805" s="82"/>
    </row>
    <row r="806" spans="1:2" x14ac:dyDescent="0.2">
      <c r="A806" s="82"/>
      <c r="B806" s="82"/>
    </row>
    <row r="807" spans="1:2" x14ac:dyDescent="0.2">
      <c r="A807" s="82"/>
      <c r="B807" s="82"/>
    </row>
    <row r="808" spans="1:2" x14ac:dyDescent="0.2">
      <c r="A808" s="82"/>
      <c r="B808" s="82"/>
    </row>
    <row r="809" spans="1:2" x14ac:dyDescent="0.2">
      <c r="A809" s="82"/>
      <c r="B809" s="82"/>
    </row>
    <row r="810" spans="1:2" x14ac:dyDescent="0.2">
      <c r="A810" s="82"/>
      <c r="B810" s="82"/>
    </row>
    <row r="811" spans="1:2" x14ac:dyDescent="0.2">
      <c r="A811" s="82"/>
      <c r="B811" s="82"/>
    </row>
    <row r="812" spans="1:2" x14ac:dyDescent="0.2">
      <c r="A812" s="82"/>
      <c r="B812" s="82"/>
    </row>
    <row r="813" spans="1:2" x14ac:dyDescent="0.2">
      <c r="A813" s="82"/>
      <c r="B813" s="82"/>
    </row>
    <row r="814" spans="1:2" x14ac:dyDescent="0.2">
      <c r="A814" s="82"/>
      <c r="B814" s="82"/>
    </row>
    <row r="815" spans="1:2" x14ac:dyDescent="0.2">
      <c r="A815" s="82"/>
      <c r="B815" s="82"/>
    </row>
    <row r="816" spans="1:2" x14ac:dyDescent="0.2">
      <c r="A816" s="82"/>
      <c r="B816" s="82"/>
    </row>
    <row r="817" spans="1:2" x14ac:dyDescent="0.2">
      <c r="A817" s="82"/>
      <c r="B817" s="82"/>
    </row>
    <row r="818" spans="1:2" x14ac:dyDescent="0.2">
      <c r="A818" s="82"/>
      <c r="B818" s="82"/>
    </row>
    <row r="819" spans="1:2" x14ac:dyDescent="0.2">
      <c r="A819" s="82"/>
      <c r="B819" s="82"/>
    </row>
    <row r="820" spans="1:2" x14ac:dyDescent="0.2">
      <c r="A820" s="82"/>
      <c r="B820" s="82"/>
    </row>
    <row r="821" spans="1:2" x14ac:dyDescent="0.2">
      <c r="A821" s="82"/>
      <c r="B821" s="82"/>
    </row>
    <row r="822" spans="1:2" x14ac:dyDescent="0.2">
      <c r="A822" s="82"/>
      <c r="B822" s="82"/>
    </row>
    <row r="823" spans="1:2" x14ac:dyDescent="0.2">
      <c r="A823" s="82"/>
      <c r="B823" s="82"/>
    </row>
    <row r="824" spans="1:2" x14ac:dyDescent="0.2">
      <c r="A824" s="82"/>
      <c r="B824" s="82"/>
    </row>
    <row r="825" spans="1:2" x14ac:dyDescent="0.2">
      <c r="A825" s="82"/>
      <c r="B825" s="82"/>
    </row>
    <row r="826" spans="1:2" x14ac:dyDescent="0.2">
      <c r="A826" s="82"/>
      <c r="B826" s="82"/>
    </row>
    <row r="827" spans="1:2" x14ac:dyDescent="0.2">
      <c r="A827" s="82"/>
      <c r="B827" s="82"/>
    </row>
    <row r="828" spans="1:2" x14ac:dyDescent="0.2">
      <c r="A828" s="82"/>
      <c r="B828" s="82"/>
    </row>
    <row r="829" spans="1:2" x14ac:dyDescent="0.2">
      <c r="A829" s="82"/>
      <c r="B829" s="82"/>
    </row>
    <row r="830" spans="1:2" x14ac:dyDescent="0.2">
      <c r="A830" s="82"/>
      <c r="B830" s="82"/>
    </row>
    <row r="831" spans="1:2" x14ac:dyDescent="0.2">
      <c r="A831" s="82"/>
      <c r="B831" s="82"/>
    </row>
    <row r="832" spans="1:2" x14ac:dyDescent="0.2">
      <c r="A832" s="82"/>
      <c r="B832" s="82"/>
    </row>
    <row r="833" spans="1:2" x14ac:dyDescent="0.2">
      <c r="A833" s="82"/>
      <c r="B833" s="82"/>
    </row>
    <row r="834" spans="1:2" x14ac:dyDescent="0.2">
      <c r="A834" s="82"/>
      <c r="B834" s="82"/>
    </row>
    <row r="835" spans="1:2" x14ac:dyDescent="0.2">
      <c r="A835" s="82"/>
      <c r="B835" s="82"/>
    </row>
    <row r="836" spans="1:2" x14ac:dyDescent="0.2">
      <c r="A836" s="82"/>
      <c r="B836" s="82"/>
    </row>
    <row r="837" spans="1:2" x14ac:dyDescent="0.2">
      <c r="A837" s="82"/>
      <c r="B837" s="82"/>
    </row>
    <row r="838" spans="1:2" x14ac:dyDescent="0.2">
      <c r="A838" s="82"/>
      <c r="B838" s="82"/>
    </row>
    <row r="839" spans="1:2" x14ac:dyDescent="0.2">
      <c r="A839" s="82"/>
      <c r="B839" s="82"/>
    </row>
    <row r="840" spans="1:2" x14ac:dyDescent="0.2">
      <c r="A840" s="82"/>
      <c r="B840" s="82"/>
    </row>
    <row r="841" spans="1:2" x14ac:dyDescent="0.2">
      <c r="A841" s="82"/>
      <c r="B841" s="82"/>
    </row>
    <row r="842" spans="1:2" x14ac:dyDescent="0.2">
      <c r="A842" s="82"/>
      <c r="B842" s="82"/>
    </row>
    <row r="843" spans="1:2" x14ac:dyDescent="0.2">
      <c r="A843" s="82"/>
      <c r="B843" s="82"/>
    </row>
    <row r="844" spans="1:2" x14ac:dyDescent="0.2">
      <c r="A844" s="82"/>
      <c r="B844" s="82"/>
    </row>
    <row r="845" spans="1:2" x14ac:dyDescent="0.2">
      <c r="A845" s="82"/>
      <c r="B845" s="82"/>
    </row>
    <row r="846" spans="1:2" x14ac:dyDescent="0.2">
      <c r="A846" s="82"/>
      <c r="B846" s="82"/>
    </row>
    <row r="847" spans="1:2" x14ac:dyDescent="0.2">
      <c r="A847" s="82"/>
      <c r="B847" s="82"/>
    </row>
    <row r="848" spans="1:2" x14ac:dyDescent="0.2">
      <c r="A848" s="82"/>
      <c r="B848" s="82"/>
    </row>
    <row r="849" spans="1:2" x14ac:dyDescent="0.2">
      <c r="A849" s="82"/>
      <c r="B849" s="82"/>
    </row>
    <row r="850" spans="1:2" x14ac:dyDescent="0.2">
      <c r="A850" s="82"/>
      <c r="B850" s="82"/>
    </row>
    <row r="851" spans="1:2" x14ac:dyDescent="0.2">
      <c r="A851" s="82"/>
      <c r="B851" s="82"/>
    </row>
    <row r="852" spans="1:2" x14ac:dyDescent="0.2">
      <c r="A852" s="82"/>
      <c r="B852" s="82"/>
    </row>
    <row r="853" spans="1:2" x14ac:dyDescent="0.2">
      <c r="A853" s="82"/>
      <c r="B853" s="82"/>
    </row>
    <row r="854" spans="1:2" x14ac:dyDescent="0.2">
      <c r="A854" s="82"/>
      <c r="B854" s="82"/>
    </row>
    <row r="855" spans="1:2" x14ac:dyDescent="0.2">
      <c r="A855" s="82"/>
      <c r="B855" s="82"/>
    </row>
    <row r="856" spans="1:2" x14ac:dyDescent="0.2">
      <c r="A856" s="82"/>
      <c r="B856" s="82"/>
    </row>
    <row r="857" spans="1:2" x14ac:dyDescent="0.2">
      <c r="A857" s="82"/>
      <c r="B857" s="82"/>
    </row>
    <row r="858" spans="1:2" x14ac:dyDescent="0.2">
      <c r="A858" s="82"/>
      <c r="B858" s="82"/>
    </row>
    <row r="859" spans="1:2" x14ac:dyDescent="0.2">
      <c r="A859" s="82"/>
      <c r="B859" s="82"/>
    </row>
    <row r="860" spans="1:2" x14ac:dyDescent="0.2">
      <c r="A860" s="82"/>
      <c r="B860" s="82"/>
    </row>
    <row r="861" spans="1:2" x14ac:dyDescent="0.2">
      <c r="A861" s="82"/>
      <c r="B861" s="82"/>
    </row>
    <row r="862" spans="1:2" x14ac:dyDescent="0.2">
      <c r="A862" s="82"/>
      <c r="B862" s="82"/>
    </row>
    <row r="863" spans="1:2" x14ac:dyDescent="0.2">
      <c r="A863" s="82"/>
      <c r="B863" s="82"/>
    </row>
    <row r="864" spans="1:2" x14ac:dyDescent="0.2">
      <c r="A864" s="82"/>
      <c r="B864" s="82"/>
    </row>
    <row r="865" spans="1:2" x14ac:dyDescent="0.2">
      <c r="A865" s="82"/>
      <c r="B865" s="82"/>
    </row>
    <row r="866" spans="1:2" x14ac:dyDescent="0.2">
      <c r="A866" s="82"/>
      <c r="B866" s="82"/>
    </row>
    <row r="867" spans="1:2" x14ac:dyDescent="0.2">
      <c r="A867" s="82"/>
      <c r="B867" s="82"/>
    </row>
    <row r="868" spans="1:2" x14ac:dyDescent="0.2">
      <c r="A868" s="82"/>
      <c r="B868" s="82"/>
    </row>
    <row r="869" spans="1:2" x14ac:dyDescent="0.2">
      <c r="A869" s="82"/>
      <c r="B869" s="82"/>
    </row>
    <row r="870" spans="1:2" x14ac:dyDescent="0.2">
      <c r="A870" s="82"/>
      <c r="B870" s="82"/>
    </row>
    <row r="871" spans="1:2" x14ac:dyDescent="0.2">
      <c r="A871" s="82"/>
      <c r="B871" s="82"/>
    </row>
    <row r="872" spans="1:2" x14ac:dyDescent="0.2">
      <c r="A872" s="82"/>
      <c r="B872" s="82"/>
    </row>
    <row r="873" spans="1:2" x14ac:dyDescent="0.2">
      <c r="A873" s="82"/>
      <c r="B873" s="82"/>
    </row>
    <row r="874" spans="1:2" x14ac:dyDescent="0.2">
      <c r="A874" s="82"/>
      <c r="B874" s="82"/>
    </row>
    <row r="875" spans="1:2" x14ac:dyDescent="0.2">
      <c r="A875" s="82"/>
      <c r="B875" s="82"/>
    </row>
    <row r="876" spans="1:2" x14ac:dyDescent="0.2">
      <c r="A876" s="82"/>
      <c r="B876" s="82"/>
    </row>
    <row r="877" spans="1:2" x14ac:dyDescent="0.2">
      <c r="A877" s="82"/>
      <c r="B877" s="82"/>
    </row>
    <row r="878" spans="1:2" x14ac:dyDescent="0.2">
      <c r="A878" s="82"/>
      <c r="B878" s="82"/>
    </row>
    <row r="879" spans="1:2" x14ac:dyDescent="0.2">
      <c r="A879" s="82"/>
      <c r="B879" s="82"/>
    </row>
    <row r="880" spans="1:2" x14ac:dyDescent="0.2">
      <c r="A880" s="82"/>
      <c r="B880" s="82"/>
    </row>
    <row r="881" spans="1:2" x14ac:dyDescent="0.2">
      <c r="A881" s="82"/>
      <c r="B881" s="82"/>
    </row>
    <row r="882" spans="1:2" x14ac:dyDescent="0.2">
      <c r="A882" s="82"/>
      <c r="B882" s="82"/>
    </row>
    <row r="883" spans="1:2" x14ac:dyDescent="0.2">
      <c r="A883" s="82"/>
      <c r="B883" s="82"/>
    </row>
    <row r="884" spans="1:2" x14ac:dyDescent="0.2">
      <c r="A884" s="82"/>
      <c r="B884" s="82"/>
    </row>
    <row r="885" spans="1:2" x14ac:dyDescent="0.2">
      <c r="A885" s="82"/>
      <c r="B885" s="82"/>
    </row>
    <row r="886" spans="1:2" x14ac:dyDescent="0.2">
      <c r="A886" s="82"/>
      <c r="B886" s="82"/>
    </row>
    <row r="887" spans="1:2" x14ac:dyDescent="0.2">
      <c r="A887" s="82"/>
      <c r="B887" s="82"/>
    </row>
    <row r="888" spans="1:2" x14ac:dyDescent="0.2">
      <c r="A888" s="82"/>
      <c r="B888" s="82"/>
    </row>
    <row r="889" spans="1:2" x14ac:dyDescent="0.2">
      <c r="A889" s="82"/>
      <c r="B889" s="82"/>
    </row>
    <row r="890" spans="1:2" x14ac:dyDescent="0.2">
      <c r="A890" s="82"/>
      <c r="B890" s="82"/>
    </row>
    <row r="891" spans="1:2" x14ac:dyDescent="0.2">
      <c r="A891" s="82"/>
      <c r="B891" s="82"/>
    </row>
    <row r="892" spans="1:2" x14ac:dyDescent="0.2">
      <c r="A892" s="82"/>
      <c r="B892" s="82"/>
    </row>
    <row r="893" spans="1:2" x14ac:dyDescent="0.2">
      <c r="A893" s="82"/>
      <c r="B893" s="82"/>
    </row>
    <row r="894" spans="1:2" x14ac:dyDescent="0.2">
      <c r="A894" s="82"/>
      <c r="B894" s="82"/>
    </row>
    <row r="895" spans="1:2" x14ac:dyDescent="0.2">
      <c r="A895" s="82"/>
      <c r="B895" s="82"/>
    </row>
    <row r="896" spans="1:2" x14ac:dyDescent="0.2">
      <c r="A896" s="82"/>
      <c r="B896" s="82"/>
    </row>
    <row r="897" spans="1:2" x14ac:dyDescent="0.2">
      <c r="A897" s="82"/>
      <c r="B897" s="82"/>
    </row>
    <row r="898" spans="1:2" x14ac:dyDescent="0.2">
      <c r="A898" s="82"/>
      <c r="B898" s="82"/>
    </row>
    <row r="899" spans="1:2" x14ac:dyDescent="0.2">
      <c r="A899" s="82"/>
      <c r="B899" s="82"/>
    </row>
    <row r="900" spans="1:2" x14ac:dyDescent="0.2">
      <c r="A900" s="82"/>
      <c r="B900" s="82"/>
    </row>
    <row r="901" spans="1:2" x14ac:dyDescent="0.2">
      <c r="A901" s="82"/>
      <c r="B901" s="82"/>
    </row>
    <row r="902" spans="1:2" x14ac:dyDescent="0.2">
      <c r="A902" s="82"/>
      <c r="B902" s="82"/>
    </row>
    <row r="903" spans="1:2" x14ac:dyDescent="0.2">
      <c r="A903" s="82"/>
      <c r="B903" s="82"/>
    </row>
    <row r="904" spans="1:2" x14ac:dyDescent="0.2">
      <c r="A904" s="82"/>
      <c r="B904" s="82"/>
    </row>
    <row r="905" spans="1:2" x14ac:dyDescent="0.2">
      <c r="A905" s="82"/>
      <c r="B905" s="82"/>
    </row>
    <row r="906" spans="1:2" x14ac:dyDescent="0.2">
      <c r="A906" s="82"/>
      <c r="B906" s="82"/>
    </row>
    <row r="907" spans="1:2" x14ac:dyDescent="0.2">
      <c r="A907" s="82"/>
      <c r="B907" s="82"/>
    </row>
    <row r="908" spans="1:2" x14ac:dyDescent="0.2">
      <c r="A908" s="82"/>
      <c r="B908" s="82"/>
    </row>
    <row r="909" spans="1:2" x14ac:dyDescent="0.2">
      <c r="A909" s="82"/>
      <c r="B909" s="82"/>
    </row>
    <row r="910" spans="1:2" x14ac:dyDescent="0.2">
      <c r="A910" s="82"/>
      <c r="B910" s="82"/>
    </row>
    <row r="911" spans="1:2" x14ac:dyDescent="0.2">
      <c r="A911" s="82"/>
      <c r="B911" s="82"/>
    </row>
    <row r="912" spans="1:2" x14ac:dyDescent="0.2">
      <c r="A912" s="82"/>
      <c r="B912" s="82"/>
    </row>
    <row r="913" spans="1:2" x14ac:dyDescent="0.2">
      <c r="A913" s="82"/>
      <c r="B913" s="82"/>
    </row>
    <row r="914" spans="1:2" x14ac:dyDescent="0.2">
      <c r="A914" s="82"/>
      <c r="B914" s="82"/>
    </row>
    <row r="915" spans="1:2" x14ac:dyDescent="0.2">
      <c r="A915" s="82"/>
      <c r="B915" s="82"/>
    </row>
    <row r="916" spans="1:2" x14ac:dyDescent="0.2">
      <c r="A916" s="82"/>
      <c r="B916" s="82"/>
    </row>
    <row r="917" spans="1:2" x14ac:dyDescent="0.2">
      <c r="A917" s="82"/>
      <c r="B917" s="82"/>
    </row>
    <row r="918" spans="1:2" x14ac:dyDescent="0.2">
      <c r="A918" s="82"/>
      <c r="B918" s="82"/>
    </row>
    <row r="919" spans="1:2" x14ac:dyDescent="0.2">
      <c r="A919" s="82"/>
      <c r="B919" s="82"/>
    </row>
    <row r="920" spans="1:2" x14ac:dyDescent="0.2">
      <c r="A920" s="82"/>
      <c r="B920" s="82"/>
    </row>
    <row r="921" spans="1:2" x14ac:dyDescent="0.2">
      <c r="A921" s="82"/>
      <c r="B921" s="82"/>
    </row>
    <row r="922" spans="1:2" x14ac:dyDescent="0.2">
      <c r="A922" s="82"/>
      <c r="B922" s="82"/>
    </row>
    <row r="923" spans="1:2" x14ac:dyDescent="0.2">
      <c r="A923" s="82"/>
      <c r="B923" s="82"/>
    </row>
    <row r="924" spans="1:2" x14ac:dyDescent="0.2">
      <c r="A924" s="82"/>
      <c r="B924" s="82"/>
    </row>
    <row r="925" spans="1:2" x14ac:dyDescent="0.2">
      <c r="A925" s="82"/>
      <c r="B925" s="82"/>
    </row>
    <row r="926" spans="1:2" x14ac:dyDescent="0.2">
      <c r="A926" s="82"/>
      <c r="B926" s="82"/>
    </row>
    <row r="927" spans="1:2" x14ac:dyDescent="0.2">
      <c r="A927" s="82"/>
      <c r="B927" s="82"/>
    </row>
    <row r="928" spans="1:2" x14ac:dyDescent="0.2">
      <c r="A928" s="82"/>
      <c r="B928" s="82"/>
    </row>
    <row r="929" spans="1:2" x14ac:dyDescent="0.2">
      <c r="A929" s="82"/>
      <c r="B929" s="82"/>
    </row>
    <row r="930" spans="1:2" x14ac:dyDescent="0.2">
      <c r="A930" s="82"/>
      <c r="B930" s="82"/>
    </row>
    <row r="931" spans="1:2" x14ac:dyDescent="0.2">
      <c r="A931" s="82"/>
      <c r="B931" s="82"/>
    </row>
    <row r="932" spans="1:2" x14ac:dyDescent="0.2">
      <c r="A932" s="82"/>
      <c r="B932" s="82"/>
    </row>
    <row r="933" spans="1:2" x14ac:dyDescent="0.2">
      <c r="A933" s="82"/>
      <c r="B933" s="82"/>
    </row>
    <row r="934" spans="1:2" x14ac:dyDescent="0.2">
      <c r="A934" s="82"/>
      <c r="B934" s="82"/>
    </row>
    <row r="935" spans="1:2" x14ac:dyDescent="0.2">
      <c r="A935" s="82"/>
      <c r="B935" s="82"/>
    </row>
    <row r="936" spans="1:2" x14ac:dyDescent="0.2">
      <c r="A936" s="82"/>
      <c r="B936" s="82"/>
    </row>
    <row r="937" spans="1:2" x14ac:dyDescent="0.2">
      <c r="A937" s="82"/>
      <c r="B937" s="82"/>
    </row>
    <row r="938" spans="1:2" x14ac:dyDescent="0.2">
      <c r="A938" s="82"/>
      <c r="B938" s="82"/>
    </row>
    <row r="939" spans="1:2" x14ac:dyDescent="0.2">
      <c r="A939" s="82"/>
      <c r="B939" s="82"/>
    </row>
    <row r="940" spans="1:2" x14ac:dyDescent="0.2">
      <c r="A940" s="82"/>
      <c r="B940" s="82"/>
    </row>
    <row r="941" spans="1:2" x14ac:dyDescent="0.2">
      <c r="A941" s="82"/>
      <c r="B941" s="82"/>
    </row>
    <row r="942" spans="1:2" x14ac:dyDescent="0.2">
      <c r="A942" s="82"/>
      <c r="B942" s="82"/>
    </row>
    <row r="943" spans="1:2" x14ac:dyDescent="0.2">
      <c r="A943" s="82"/>
      <c r="B943" s="82"/>
    </row>
    <row r="944" spans="1:2" x14ac:dyDescent="0.2">
      <c r="A944" s="82"/>
      <c r="B944" s="82"/>
    </row>
    <row r="945" spans="1:2" x14ac:dyDescent="0.2">
      <c r="A945" s="82"/>
      <c r="B945" s="82"/>
    </row>
    <row r="946" spans="1:2" x14ac:dyDescent="0.2">
      <c r="A946" s="82"/>
      <c r="B946" s="82"/>
    </row>
    <row r="947" spans="1:2" x14ac:dyDescent="0.2">
      <c r="A947" s="82"/>
      <c r="B947" s="82"/>
    </row>
    <row r="948" spans="1:2" x14ac:dyDescent="0.2">
      <c r="A948" s="82"/>
      <c r="B948" s="82"/>
    </row>
    <row r="949" spans="1:2" x14ac:dyDescent="0.2">
      <c r="A949" s="82"/>
      <c r="B949" s="82"/>
    </row>
    <row r="950" spans="1:2" x14ac:dyDescent="0.2">
      <c r="A950" s="82"/>
      <c r="B950" s="82"/>
    </row>
    <row r="951" spans="1:2" x14ac:dyDescent="0.2">
      <c r="A951" s="82"/>
      <c r="B951" s="82"/>
    </row>
    <row r="952" spans="1:2" x14ac:dyDescent="0.2">
      <c r="A952" s="82"/>
      <c r="B952" s="82"/>
    </row>
    <row r="953" spans="1:2" x14ac:dyDescent="0.2">
      <c r="A953" s="82"/>
      <c r="B953" s="82"/>
    </row>
    <row r="954" spans="1:2" x14ac:dyDescent="0.2">
      <c r="A954" s="82"/>
      <c r="B954" s="82"/>
    </row>
    <row r="955" spans="1:2" x14ac:dyDescent="0.2">
      <c r="A955" s="82"/>
      <c r="B955" s="82"/>
    </row>
    <row r="956" spans="1:2" x14ac:dyDescent="0.2">
      <c r="A956" s="82"/>
      <c r="B956" s="82"/>
    </row>
    <row r="957" spans="1:2" x14ac:dyDescent="0.2">
      <c r="A957" s="82"/>
      <c r="B957" s="82"/>
    </row>
    <row r="958" spans="1:2" x14ac:dyDescent="0.2">
      <c r="A958" s="82"/>
      <c r="B958" s="82"/>
    </row>
    <row r="959" spans="1:2" x14ac:dyDescent="0.2">
      <c r="A959" s="82"/>
      <c r="B959" s="82"/>
    </row>
    <row r="960" spans="1:2" x14ac:dyDescent="0.2">
      <c r="A960" s="82"/>
      <c r="B960" s="82"/>
    </row>
    <row r="961" spans="1:2" x14ac:dyDescent="0.2">
      <c r="A961" s="82"/>
      <c r="B961" s="82"/>
    </row>
    <row r="962" spans="1:2" x14ac:dyDescent="0.2">
      <c r="A962" s="82"/>
      <c r="B962" s="82"/>
    </row>
    <row r="963" spans="1:2" x14ac:dyDescent="0.2">
      <c r="A963" s="82"/>
      <c r="B963" s="82"/>
    </row>
    <row r="964" spans="1:2" x14ac:dyDescent="0.2">
      <c r="A964" s="82"/>
      <c r="B964" s="82"/>
    </row>
    <row r="965" spans="1:2" x14ac:dyDescent="0.2">
      <c r="A965" s="82"/>
      <c r="B965" s="82"/>
    </row>
    <row r="966" spans="1:2" x14ac:dyDescent="0.2">
      <c r="A966" s="82"/>
      <c r="B966" s="82"/>
    </row>
    <row r="967" spans="1:2" x14ac:dyDescent="0.2">
      <c r="A967" s="82"/>
      <c r="B967" s="82"/>
    </row>
    <row r="968" spans="1:2" x14ac:dyDescent="0.2">
      <c r="A968" s="82"/>
      <c r="B968" s="82"/>
    </row>
    <row r="969" spans="1:2" x14ac:dyDescent="0.2">
      <c r="A969" s="82"/>
      <c r="B969" s="82"/>
    </row>
    <row r="970" spans="1:2" x14ac:dyDescent="0.2">
      <c r="A970" s="82"/>
      <c r="B970" s="82"/>
    </row>
    <row r="971" spans="1:2" x14ac:dyDescent="0.2">
      <c r="A971" s="82"/>
      <c r="B971" s="82"/>
    </row>
    <row r="972" spans="1:2" x14ac:dyDescent="0.2">
      <c r="A972" s="82"/>
      <c r="B972" s="82"/>
    </row>
    <row r="973" spans="1:2" x14ac:dyDescent="0.2">
      <c r="A973" s="82"/>
      <c r="B973" s="82"/>
    </row>
    <row r="974" spans="1:2" x14ac:dyDescent="0.2">
      <c r="A974" s="82"/>
      <c r="B974" s="82"/>
    </row>
    <row r="975" spans="1:2" x14ac:dyDescent="0.2">
      <c r="A975" s="82"/>
      <c r="B975" s="82"/>
    </row>
    <row r="976" spans="1:2" x14ac:dyDescent="0.2">
      <c r="A976" s="82"/>
      <c r="B976" s="82"/>
    </row>
    <row r="977" spans="1:2" x14ac:dyDescent="0.2">
      <c r="A977" s="82"/>
      <c r="B977" s="82"/>
    </row>
    <row r="978" spans="1:2" x14ac:dyDescent="0.2">
      <c r="A978" s="82"/>
      <c r="B978" s="82"/>
    </row>
    <row r="979" spans="1:2" x14ac:dyDescent="0.2">
      <c r="A979" s="82"/>
      <c r="B979" s="82"/>
    </row>
    <row r="980" spans="1:2" x14ac:dyDescent="0.2">
      <c r="A980" s="82"/>
      <c r="B980" s="82"/>
    </row>
    <row r="981" spans="1:2" x14ac:dyDescent="0.2">
      <c r="A981" s="82"/>
      <c r="B981" s="82"/>
    </row>
    <row r="982" spans="1:2" x14ac:dyDescent="0.2">
      <c r="A982" s="82"/>
      <c r="B982" s="82"/>
    </row>
    <row r="983" spans="1:2" x14ac:dyDescent="0.2">
      <c r="A983" s="82"/>
      <c r="B983" s="82"/>
    </row>
    <row r="984" spans="1:2" x14ac:dyDescent="0.2">
      <c r="A984" s="82"/>
      <c r="B984" s="82"/>
    </row>
    <row r="985" spans="1:2" x14ac:dyDescent="0.2">
      <c r="A985" s="82"/>
      <c r="B985" s="8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Z1000"/>
  <sheetViews>
    <sheetView showGridLines="0" workbookViewId="0"/>
  </sheetViews>
  <sheetFormatPr baseColWidth="10" defaultColWidth="14.42578125" defaultRowHeight="15" customHeight="1" x14ac:dyDescent="0.2"/>
  <cols>
    <col min="1" max="1" width="6" customWidth="1"/>
    <col min="2" max="2" width="23.28515625" customWidth="1"/>
    <col min="3" max="26" width="10.7109375" customWidth="1"/>
  </cols>
  <sheetData>
    <row r="1" spans="1:26" ht="12.75" customHeigh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75" customHeight="1" x14ac:dyDescent="0.2">
      <c r="A2" s="7"/>
      <c r="B2" s="84" t="s">
        <v>86</v>
      </c>
      <c r="C2" s="139">
        <f ca="1">TODAY()</f>
        <v>46064</v>
      </c>
      <c r="D2" s="131"/>
      <c r="E2" s="131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">
      <c r="A3" s="7"/>
      <c r="B3" s="69"/>
      <c r="C3" s="85"/>
      <c r="D3" s="85"/>
      <c r="E3" s="85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">
      <c r="A4" s="7"/>
      <c r="B4" s="69"/>
      <c r="C4" s="85"/>
      <c r="D4" s="85"/>
      <c r="E4" s="85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.75" customHeight="1" x14ac:dyDescent="0.25">
      <c r="A5" s="7"/>
      <c r="B5" s="140" t="s">
        <v>87</v>
      </c>
      <c r="C5" s="141"/>
      <c r="D5" s="141"/>
      <c r="E5" s="141"/>
      <c r="F5" s="141"/>
      <c r="G5" s="142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2.75" customHeight="1" x14ac:dyDescent="0.2">
      <c r="A6" s="7"/>
      <c r="B6" s="86" t="s">
        <v>88</v>
      </c>
      <c r="C6" s="87" t="s">
        <v>12</v>
      </c>
      <c r="D6" s="87" t="s">
        <v>15</v>
      </c>
      <c r="E6" s="87" t="s">
        <v>17</v>
      </c>
      <c r="F6" s="87" t="s">
        <v>18</v>
      </c>
      <c r="G6" s="87" t="s">
        <v>89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">
      <c r="A7" s="7"/>
      <c r="B7" s="57" t="s">
        <v>90</v>
      </c>
      <c r="C7" s="57">
        <f>'A1'!D6</f>
        <v>0</v>
      </c>
      <c r="D7" s="57">
        <f>'A2'!D6</f>
        <v>0</v>
      </c>
      <c r="E7" s="57">
        <f>'A3'!D6</f>
        <v>0</v>
      </c>
      <c r="F7" s="88"/>
      <c r="G7" s="57">
        <f t="shared" ref="G7:G10" si="0">SUM(C7:E7)</f>
        <v>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">
      <c r="A8" s="7"/>
      <c r="B8" s="57" t="s">
        <v>91</v>
      </c>
      <c r="C8" s="57">
        <f>'A1'!D7</f>
        <v>0</v>
      </c>
      <c r="D8" s="57">
        <f>'A2'!D7</f>
        <v>0</v>
      </c>
      <c r="E8" s="57">
        <f>'A3'!D7</f>
        <v>0</v>
      </c>
      <c r="F8" s="88"/>
      <c r="G8" s="57">
        <f t="shared" si="0"/>
        <v>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">
      <c r="A9" s="7"/>
      <c r="B9" s="57" t="s">
        <v>92</v>
      </c>
      <c r="C9" s="57">
        <f>'A1'!D8</f>
        <v>0</v>
      </c>
      <c r="D9" s="57">
        <f>'A2'!D8</f>
        <v>0</v>
      </c>
      <c r="E9" s="57">
        <f>'A3'!D8</f>
        <v>0</v>
      </c>
      <c r="F9" s="88"/>
      <c r="G9" s="57">
        <f t="shared" si="0"/>
        <v>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2.75" customHeight="1" x14ac:dyDescent="0.2">
      <c r="A10" s="7"/>
      <c r="B10" s="57" t="s">
        <v>93</v>
      </c>
      <c r="C10" s="57">
        <f>'A1'!D9</f>
        <v>0</v>
      </c>
      <c r="D10" s="57">
        <f>'A2'!D9</f>
        <v>0</v>
      </c>
      <c r="E10" s="57">
        <f>'A3'!D9</f>
        <v>0</v>
      </c>
      <c r="F10" s="88"/>
      <c r="G10" s="57">
        <f t="shared" si="0"/>
        <v>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">
      <c r="A11" s="7"/>
      <c r="B11" s="89" t="s">
        <v>94</v>
      </c>
      <c r="C11" s="57">
        <f t="shared" ref="C11:E11" si="1">SUM(C7:C10)</f>
        <v>0</v>
      </c>
      <c r="D11" s="57">
        <f t="shared" si="1"/>
        <v>0</v>
      </c>
      <c r="E11" s="57">
        <f t="shared" si="1"/>
        <v>0</v>
      </c>
      <c r="F11" s="57"/>
      <c r="G11" s="5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">
      <c r="A12" s="7"/>
      <c r="B12" s="90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">
      <c r="A13" s="7"/>
      <c r="B13" s="143" t="s">
        <v>95</v>
      </c>
      <c r="C13" s="133"/>
      <c r="D13" s="133"/>
      <c r="E13" s="133"/>
      <c r="F13" s="133"/>
      <c r="G13" s="144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">
      <c r="A14" s="7"/>
      <c r="B14" s="91" t="s">
        <v>96</v>
      </c>
      <c r="C14" s="87" t="s">
        <v>12</v>
      </c>
      <c r="D14" s="87" t="s">
        <v>15</v>
      </c>
      <c r="E14" s="87" t="s">
        <v>17</v>
      </c>
      <c r="F14" s="87" t="s">
        <v>18</v>
      </c>
      <c r="G14" s="87" t="s">
        <v>97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">
      <c r="A15" s="7"/>
      <c r="B15" s="57" t="s">
        <v>98</v>
      </c>
      <c r="C15" s="57">
        <f>'A1'!D12</f>
        <v>0</v>
      </c>
      <c r="D15" s="57">
        <f>'A2'!D12</f>
        <v>0</v>
      </c>
      <c r="E15" s="57">
        <f>'A3'!D12</f>
        <v>0</v>
      </c>
      <c r="F15" s="57">
        <f>'A4'!D8</f>
        <v>0</v>
      </c>
      <c r="G15" s="57">
        <f t="shared" ref="G15:G25" si="2">SUM(C15:F15)</f>
        <v>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">
      <c r="A16" s="7"/>
      <c r="B16" s="57" t="s">
        <v>99</v>
      </c>
      <c r="C16" s="88"/>
      <c r="D16" s="88"/>
      <c r="E16" s="57">
        <f>'A3'!D14</f>
        <v>0</v>
      </c>
      <c r="F16" s="88"/>
      <c r="G16" s="57">
        <f t="shared" si="2"/>
        <v>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">
      <c r="A17" s="7"/>
      <c r="B17" s="57" t="s">
        <v>100</v>
      </c>
      <c r="C17" s="57">
        <f>'A1'!D13</f>
        <v>0</v>
      </c>
      <c r="D17" s="88"/>
      <c r="E17" s="88"/>
      <c r="F17" s="88"/>
      <c r="G17" s="57">
        <f t="shared" si="2"/>
        <v>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">
      <c r="A18" s="7"/>
      <c r="B18" s="57" t="s">
        <v>101</v>
      </c>
      <c r="C18" s="57">
        <f>'A1'!D14</f>
        <v>0</v>
      </c>
      <c r="D18" s="57">
        <f>'A2'!D13</f>
        <v>0</v>
      </c>
      <c r="E18" s="57">
        <f>'A3'!D13</f>
        <v>0</v>
      </c>
      <c r="F18" s="57">
        <f>'A4'!D9</f>
        <v>0</v>
      </c>
      <c r="G18" s="57">
        <f t="shared" si="2"/>
        <v>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">
      <c r="A19" s="7"/>
      <c r="B19" s="57" t="s">
        <v>102</v>
      </c>
      <c r="C19" s="88"/>
      <c r="D19" s="57">
        <f>'A2'!D14</f>
        <v>0</v>
      </c>
      <c r="E19" s="88"/>
      <c r="F19" s="88"/>
      <c r="G19" s="57">
        <f t="shared" si="2"/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">
      <c r="A20" s="7"/>
      <c r="B20" s="57" t="s">
        <v>103</v>
      </c>
      <c r="C20" s="88"/>
      <c r="D20" s="57">
        <f>'A2'!D15</f>
        <v>0</v>
      </c>
      <c r="E20" s="88"/>
      <c r="F20" s="88"/>
      <c r="G20" s="57">
        <f t="shared" si="2"/>
        <v>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">
      <c r="A21" s="7"/>
      <c r="B21" s="57" t="s">
        <v>104</v>
      </c>
      <c r="C21" s="88"/>
      <c r="D21" s="88"/>
      <c r="E21" s="88"/>
      <c r="F21" s="57">
        <f>'A4'!D10</f>
        <v>0</v>
      </c>
      <c r="G21" s="57">
        <f t="shared" si="2"/>
        <v>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">
      <c r="A22" s="7"/>
      <c r="B22" s="57" t="s">
        <v>105</v>
      </c>
      <c r="C22" s="88"/>
      <c r="D22" s="57">
        <f>'A2'!D16</f>
        <v>0</v>
      </c>
      <c r="E22" s="88"/>
      <c r="F22" s="88"/>
      <c r="G22" s="57">
        <f t="shared" si="2"/>
        <v>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">
      <c r="A23" s="7"/>
      <c r="B23" s="57" t="s">
        <v>106</v>
      </c>
      <c r="C23" s="57">
        <f>'A1'!D15</f>
        <v>0</v>
      </c>
      <c r="D23" s="88"/>
      <c r="E23" s="88"/>
      <c r="F23" s="88"/>
      <c r="G23" s="57">
        <f t="shared" si="2"/>
        <v>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">
      <c r="A24" s="7"/>
      <c r="B24" s="57" t="s">
        <v>107</v>
      </c>
      <c r="C24" s="57">
        <f>'A1'!D18</f>
        <v>0</v>
      </c>
      <c r="D24" s="88"/>
      <c r="E24" s="88"/>
      <c r="F24" s="88"/>
      <c r="G24" s="57">
        <f t="shared" si="2"/>
        <v>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">
      <c r="A25" s="7"/>
      <c r="B25" s="57" t="s">
        <v>108</v>
      </c>
      <c r="C25" s="88"/>
      <c r="D25" s="88"/>
      <c r="E25" s="88"/>
      <c r="F25" s="57">
        <f>'A4'!D37</f>
        <v>0</v>
      </c>
      <c r="G25" s="57">
        <f t="shared" si="2"/>
        <v>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">
      <c r="A26" s="7"/>
      <c r="B26" s="89" t="s">
        <v>109</v>
      </c>
      <c r="C26" s="57">
        <f t="shared" ref="C26:G26" si="3">SUM(C15:C25)</f>
        <v>0</v>
      </c>
      <c r="D26" s="57">
        <f t="shared" si="3"/>
        <v>0</v>
      </c>
      <c r="E26" s="57">
        <f t="shared" si="3"/>
        <v>0</v>
      </c>
      <c r="F26" s="57">
        <f t="shared" si="3"/>
        <v>0</v>
      </c>
      <c r="G26" s="57">
        <f t="shared" si="3"/>
        <v>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">
      <c r="A27" s="7"/>
      <c r="B27" s="6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140" t="s">
        <v>110</v>
      </c>
      <c r="C28" s="141"/>
      <c r="D28" s="141"/>
      <c r="E28" s="141"/>
      <c r="F28" s="141"/>
      <c r="G28" s="142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">
      <c r="A29" s="7"/>
      <c r="B29" s="145" t="s">
        <v>111</v>
      </c>
      <c r="C29" s="146"/>
      <c r="D29" s="146"/>
      <c r="E29" s="146"/>
      <c r="F29" s="146"/>
      <c r="G29" s="1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">
      <c r="A30" s="7"/>
      <c r="B30" s="57" t="s">
        <v>112</v>
      </c>
      <c r="C30" s="88"/>
      <c r="D30" s="88"/>
      <c r="E30" s="88"/>
      <c r="F30" s="57">
        <f>'A4'!D18</f>
        <v>0</v>
      </c>
      <c r="G30" s="5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">
      <c r="A31" s="7"/>
      <c r="B31" s="57" t="s">
        <v>51</v>
      </c>
      <c r="C31" s="88"/>
      <c r="D31" s="88"/>
      <c r="E31" s="88"/>
      <c r="F31" s="57">
        <f>'A4'!D19</f>
        <v>0</v>
      </c>
      <c r="G31" s="5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">
      <c r="A32" s="7"/>
      <c r="B32" s="57" t="s">
        <v>113</v>
      </c>
      <c r="C32" s="88"/>
      <c r="D32" s="88"/>
      <c r="E32" s="88"/>
      <c r="F32" s="57">
        <f>'A4'!D20</f>
        <v>0</v>
      </c>
      <c r="G32" s="5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">
      <c r="A33" s="7"/>
      <c r="B33" s="89" t="s">
        <v>114</v>
      </c>
      <c r="C33" s="57"/>
      <c r="D33" s="57"/>
      <c r="E33" s="57"/>
      <c r="F33" s="57">
        <f>SUM(F30:F32)</f>
        <v>0</v>
      </c>
      <c r="G33" s="5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"/>
    <row r="235" spans="1:26" ht="15.75" customHeight="1" x14ac:dyDescent="0.2"/>
    <row r="236" spans="1:26" ht="15.75" customHeight="1" x14ac:dyDescent="0.2"/>
    <row r="237" spans="1:26" ht="15.75" customHeight="1" x14ac:dyDescent="0.2"/>
    <row r="238" spans="1:26" ht="15.75" customHeight="1" x14ac:dyDescent="0.2"/>
    <row r="239" spans="1:26" ht="15.75" customHeight="1" x14ac:dyDescent="0.2"/>
    <row r="240" spans="1:26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">
    <mergeCell ref="C2:E2"/>
    <mergeCell ref="B5:G5"/>
    <mergeCell ref="B13:G13"/>
    <mergeCell ref="B28:G28"/>
    <mergeCell ref="B29:G29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F5496"/>
  </sheetPr>
  <dimension ref="B1:E797"/>
  <sheetViews>
    <sheetView showGridLines="0" tabSelected="1" workbookViewId="0"/>
  </sheetViews>
  <sheetFormatPr baseColWidth="10" defaultColWidth="14.42578125" defaultRowHeight="15" customHeight="1" x14ac:dyDescent="0.2"/>
  <cols>
    <col min="1" max="1" width="10.7109375" customWidth="1"/>
    <col min="2" max="2" width="25.7109375" customWidth="1"/>
    <col min="3" max="3" width="14" customWidth="1"/>
    <col min="4" max="6" width="10.7109375" customWidth="1"/>
  </cols>
  <sheetData>
    <row r="1" spans="2:5" ht="12.75" customHeight="1" x14ac:dyDescent="0.2"/>
    <row r="2" spans="2:5" ht="12.75" customHeight="1" x14ac:dyDescent="0.2">
      <c r="B2" s="147" t="s">
        <v>115</v>
      </c>
      <c r="C2" s="106"/>
    </row>
    <row r="3" spans="2:5" ht="12.75" customHeight="1" x14ac:dyDescent="0.2">
      <c r="B3" s="93"/>
      <c r="C3" s="93"/>
    </row>
    <row r="4" spans="2:5" ht="12.75" customHeight="1" x14ac:dyDescent="0.2">
      <c r="B4" s="94">
        <f ca="1">TODAY()</f>
        <v>46064</v>
      </c>
      <c r="C4" s="93"/>
    </row>
    <row r="5" spans="2:5" ht="12.75" customHeight="1" x14ac:dyDescent="0.2">
      <c r="B5" s="95" t="s">
        <v>116</v>
      </c>
      <c r="C5" s="92">
        <v>1</v>
      </c>
    </row>
    <row r="6" spans="2:5" ht="12.75" customHeight="1" x14ac:dyDescent="0.2">
      <c r="B6" s="96" t="s">
        <v>117</v>
      </c>
      <c r="C6" s="97" t="str">
        <f>(IF(C5=4, "Bocagrande", "Villa Grande"))</f>
        <v>Villa Grande</v>
      </c>
      <c r="D6" s="98"/>
      <c r="E6" s="98"/>
    </row>
    <row r="7" spans="2:5" ht="12.75" customHeight="1" x14ac:dyDescent="0.2">
      <c r="B7" s="96" t="str">
        <f ca="1">UPPER(TEXT(B4,"dddd"))</f>
        <v>MIÉRCOLES</v>
      </c>
      <c r="C7" s="98" t="str">
        <f>VLOOKUP(C5,Servicios!A1:B7,2,FALSE())</f>
        <v>08:00 AM</v>
      </c>
      <c r="D7" s="98"/>
      <c r="E7" s="98"/>
    </row>
    <row r="8" spans="2:5" ht="12.75" customHeight="1" x14ac:dyDescent="0.2">
      <c r="B8" s="95"/>
    </row>
    <row r="9" spans="2:5" ht="12.75" customHeight="1" x14ac:dyDescent="0.2">
      <c r="B9" s="95" t="s">
        <v>118</v>
      </c>
      <c r="C9" s="93"/>
    </row>
    <row r="10" spans="2:5" ht="12.75" customHeight="1" x14ac:dyDescent="0.2">
      <c r="B10" s="93"/>
      <c r="C10" s="93"/>
    </row>
    <row r="11" spans="2:5" ht="12.75" customHeight="1" x14ac:dyDescent="0.2">
      <c r="B11" s="148" t="s">
        <v>119</v>
      </c>
      <c r="C11" s="106"/>
    </row>
    <row r="12" spans="2:5" ht="12.75" customHeight="1" x14ac:dyDescent="0.2">
      <c r="B12" s="93"/>
      <c r="C12" s="93"/>
    </row>
    <row r="13" spans="2:5" ht="12.75" customHeight="1" x14ac:dyDescent="0.2">
      <c r="B13" s="95" t="s">
        <v>120</v>
      </c>
      <c r="C13" s="99">
        <f>SUM(Consolidado!C9:D9)</f>
        <v>0</v>
      </c>
    </row>
    <row r="14" spans="2:5" ht="12.75" customHeight="1" x14ac:dyDescent="0.2">
      <c r="B14" s="95" t="s">
        <v>121</v>
      </c>
      <c r="C14" s="99">
        <f>Consolidado!E9</f>
        <v>0</v>
      </c>
    </row>
    <row r="15" spans="2:5" ht="12.75" customHeight="1" x14ac:dyDescent="0.2">
      <c r="B15" s="95" t="s">
        <v>122</v>
      </c>
      <c r="C15" s="99">
        <f>Consolidado!G10</f>
        <v>0</v>
      </c>
    </row>
    <row r="16" spans="2:5" ht="12.75" customHeight="1" x14ac:dyDescent="0.2">
      <c r="B16" s="95" t="s">
        <v>123</v>
      </c>
      <c r="C16" s="99">
        <f>'A4'!D38</f>
        <v>0</v>
      </c>
    </row>
    <row r="17" spans="2:3" ht="12.75" customHeight="1" x14ac:dyDescent="0.2">
      <c r="B17" s="93"/>
      <c r="C17" s="93"/>
    </row>
    <row r="18" spans="2:3" ht="12.75" customHeight="1" x14ac:dyDescent="0.2">
      <c r="B18" s="100" t="s">
        <v>124</v>
      </c>
      <c r="C18" s="99">
        <f>SUM(C13:C16)</f>
        <v>0</v>
      </c>
    </row>
    <row r="19" spans="2:3" ht="12.75" customHeight="1" x14ac:dyDescent="0.2">
      <c r="B19" s="93"/>
      <c r="C19" s="93"/>
    </row>
    <row r="20" spans="2:3" ht="12.75" customHeight="1" x14ac:dyDescent="0.2">
      <c r="B20" s="95" t="s">
        <v>125</v>
      </c>
      <c r="C20" s="93"/>
    </row>
    <row r="21" spans="2:3" ht="12.75" customHeight="1" x14ac:dyDescent="0.2">
      <c r="B21" s="93"/>
      <c r="C21" s="93"/>
    </row>
    <row r="22" spans="2:3" ht="12.75" customHeight="1" x14ac:dyDescent="0.2">
      <c r="B22" s="95" t="s">
        <v>126</v>
      </c>
      <c r="C22" s="99">
        <f>Consolidado!G15</f>
        <v>0</v>
      </c>
    </row>
    <row r="23" spans="2:3" ht="12.75" customHeight="1" x14ac:dyDescent="0.2">
      <c r="B23" s="95" t="s">
        <v>127</v>
      </c>
      <c r="C23" s="99">
        <f>Consolidado!G16</f>
        <v>0</v>
      </c>
    </row>
    <row r="24" spans="2:3" ht="12.75" customHeight="1" x14ac:dyDescent="0.2">
      <c r="B24" s="95" t="s">
        <v>128</v>
      </c>
      <c r="C24" s="99">
        <f>Consolidado!G17</f>
        <v>0</v>
      </c>
    </row>
    <row r="25" spans="2:3" ht="12.75" customHeight="1" x14ac:dyDescent="0.2">
      <c r="B25" s="95" t="s">
        <v>129</v>
      </c>
      <c r="C25" s="99">
        <f>Consolidado!G18</f>
        <v>0</v>
      </c>
    </row>
    <row r="26" spans="2:3" ht="12.75" customHeight="1" x14ac:dyDescent="0.2">
      <c r="B26" s="95" t="s">
        <v>130</v>
      </c>
      <c r="C26" s="99">
        <f>Consolidado!G19</f>
        <v>0</v>
      </c>
    </row>
    <row r="27" spans="2:3" ht="12.75" customHeight="1" x14ac:dyDescent="0.2">
      <c r="B27" s="95" t="s">
        <v>131</v>
      </c>
      <c r="C27" s="99">
        <f>Consolidado!G20</f>
        <v>0</v>
      </c>
    </row>
    <row r="28" spans="2:3" ht="12.75" customHeight="1" x14ac:dyDescent="0.2">
      <c r="B28" s="95" t="s">
        <v>132</v>
      </c>
      <c r="C28" s="99">
        <f>Consolidado!G21</f>
        <v>0</v>
      </c>
    </row>
    <row r="29" spans="2:3" ht="12.75" customHeight="1" x14ac:dyDescent="0.2">
      <c r="B29" s="95" t="s">
        <v>133</v>
      </c>
      <c r="C29" s="99">
        <f>Consolidado!G22</f>
        <v>0</v>
      </c>
    </row>
    <row r="30" spans="2:3" ht="12.75" customHeight="1" x14ac:dyDescent="0.2">
      <c r="B30" s="95" t="s">
        <v>134</v>
      </c>
      <c r="C30" s="99">
        <f>Consolidado!G23</f>
        <v>0</v>
      </c>
    </row>
    <row r="31" spans="2:3" ht="12.75" customHeight="1" x14ac:dyDescent="0.2">
      <c r="B31" s="95" t="s">
        <v>135</v>
      </c>
      <c r="C31" s="99">
        <f>Consolidado!G24</f>
        <v>0</v>
      </c>
    </row>
    <row r="32" spans="2:3" ht="12.75" customHeight="1" x14ac:dyDescent="0.2">
      <c r="B32" s="95" t="s">
        <v>136</v>
      </c>
      <c r="C32" s="99">
        <f>Consolidado!G25</f>
        <v>0</v>
      </c>
    </row>
    <row r="33" spans="2:3" ht="12.75" customHeight="1" x14ac:dyDescent="0.2">
      <c r="B33" s="93"/>
      <c r="C33" s="93"/>
    </row>
    <row r="34" spans="2:3" ht="12.75" customHeight="1" x14ac:dyDescent="0.2">
      <c r="B34" s="93"/>
      <c r="C34" s="93"/>
    </row>
    <row r="35" spans="2:3" ht="12.75" customHeight="1" x14ac:dyDescent="0.2">
      <c r="B35" s="95" t="s">
        <v>137</v>
      </c>
      <c r="C35" s="99">
        <f>SUM(C22:C32)</f>
        <v>0</v>
      </c>
    </row>
    <row r="36" spans="2:3" ht="12.75" customHeight="1" x14ac:dyDescent="0.2">
      <c r="B36" s="93"/>
      <c r="C36" s="93"/>
    </row>
    <row r="37" spans="2:3" ht="12.75" customHeight="1" x14ac:dyDescent="0.2">
      <c r="B37" s="95" t="s">
        <v>138</v>
      </c>
      <c r="C37" s="101">
        <f>C18+C35</f>
        <v>0</v>
      </c>
    </row>
    <row r="38" spans="2:3" ht="12.75" customHeight="1" x14ac:dyDescent="0.2">
      <c r="B38" s="93"/>
      <c r="C38" s="93"/>
    </row>
    <row r="39" spans="2:3" ht="12.75" customHeight="1" x14ac:dyDescent="0.2">
      <c r="B39" s="95" t="s">
        <v>139</v>
      </c>
      <c r="C39" s="93"/>
    </row>
    <row r="40" spans="2:3" ht="12.75" customHeight="1" x14ac:dyDescent="0.2">
      <c r="B40" s="93"/>
      <c r="C40" s="93"/>
    </row>
    <row r="41" spans="2:3" ht="12.75" customHeight="1" x14ac:dyDescent="0.2">
      <c r="B41" s="95" t="s">
        <v>140</v>
      </c>
      <c r="C41" s="99">
        <f>Consolidado!F30</f>
        <v>0</v>
      </c>
    </row>
    <row r="42" spans="2:3" ht="12.75" customHeight="1" x14ac:dyDescent="0.2">
      <c r="B42" s="95" t="s">
        <v>141</v>
      </c>
      <c r="C42" s="99">
        <f>Consolidado!F31</f>
        <v>0</v>
      </c>
    </row>
    <row r="43" spans="2:3" ht="12.75" customHeight="1" x14ac:dyDescent="0.2">
      <c r="B43" s="95" t="s">
        <v>142</v>
      </c>
      <c r="C43" s="99">
        <f>Consolidado!F32</f>
        <v>0</v>
      </c>
    </row>
    <row r="44" spans="2:3" ht="12.75" customHeight="1" x14ac:dyDescent="0.2">
      <c r="B44" s="93"/>
      <c r="C44" s="93"/>
    </row>
    <row r="45" spans="2:3" ht="12.75" customHeight="1" x14ac:dyDescent="0.2">
      <c r="B45" s="95" t="s">
        <v>143</v>
      </c>
      <c r="C45" s="99">
        <f>SUM(C41:C43)</f>
        <v>0</v>
      </c>
    </row>
    <row r="46" spans="2:3" ht="12.75" customHeight="1" x14ac:dyDescent="0.2">
      <c r="B46" s="95"/>
      <c r="C46" s="93"/>
    </row>
    <row r="47" spans="2:3" ht="12.75" customHeight="1" x14ac:dyDescent="0.2">
      <c r="B47" s="95" t="s">
        <v>144</v>
      </c>
      <c r="C47" s="93"/>
    </row>
    <row r="48" spans="2:3" ht="12.75" customHeight="1" x14ac:dyDescent="0.2">
      <c r="B48" s="93"/>
      <c r="C48" s="93"/>
    </row>
    <row r="49" spans="2:3" ht="12.75" customHeight="1" x14ac:dyDescent="0.2">
      <c r="B49" s="95" t="s">
        <v>145</v>
      </c>
      <c r="C49" s="99"/>
    </row>
    <row r="50" spans="2:3" ht="12.75" customHeight="1" x14ac:dyDescent="0.2">
      <c r="B50" s="93"/>
      <c r="C50" s="93"/>
    </row>
    <row r="51" spans="2:3" ht="12.75" customHeight="1" x14ac:dyDescent="0.2">
      <c r="B51" s="102" t="s">
        <v>146</v>
      </c>
      <c r="C51" s="93">
        <f>Sobres!C12</f>
        <v>0</v>
      </c>
    </row>
    <row r="52" spans="2:3" ht="12.75" customHeight="1" x14ac:dyDescent="0.2">
      <c r="B52" s="93"/>
      <c r="C52" s="93"/>
    </row>
    <row r="53" spans="2:3" ht="12.75" customHeight="1" x14ac:dyDescent="0.2">
      <c r="B53" s="95" t="s">
        <v>147</v>
      </c>
      <c r="C53" s="93"/>
    </row>
    <row r="54" spans="2:3" ht="12.75" customHeight="1" x14ac:dyDescent="0.2">
      <c r="B54" s="93"/>
      <c r="C54" s="93"/>
    </row>
    <row r="55" spans="2:3" ht="12.75" customHeight="1" x14ac:dyDescent="0.2">
      <c r="B55" s="95" t="s">
        <v>148</v>
      </c>
      <c r="C55" s="103">
        <f>Sobres!C7</f>
        <v>0</v>
      </c>
    </row>
    <row r="56" spans="2:3" ht="12.75" customHeight="1" x14ac:dyDescent="0.2">
      <c r="B56" s="95" t="s">
        <v>149</v>
      </c>
      <c r="C56" s="103">
        <f>Sobres!D7</f>
        <v>0</v>
      </c>
    </row>
    <row r="57" spans="2:3" ht="12.75" customHeight="1" x14ac:dyDescent="0.2">
      <c r="B57" s="95" t="s">
        <v>150</v>
      </c>
      <c r="C57" s="103">
        <f>Sobres!E7</f>
        <v>0</v>
      </c>
    </row>
    <row r="58" spans="2:3" ht="12.75" customHeight="1" x14ac:dyDescent="0.2">
      <c r="B58" s="95" t="s">
        <v>151</v>
      </c>
      <c r="C58" s="103">
        <f>Sobres!F7</f>
        <v>0</v>
      </c>
    </row>
    <row r="59" spans="2:3" ht="12.75" customHeight="1" x14ac:dyDescent="0.2">
      <c r="B59" s="95" t="s">
        <v>152</v>
      </c>
      <c r="C59" s="103">
        <f>Sobres!G7</f>
        <v>0</v>
      </c>
    </row>
    <row r="60" spans="2:3" ht="12.75" customHeight="1" x14ac:dyDescent="0.2">
      <c r="B60" s="93"/>
      <c r="C60" s="93"/>
    </row>
    <row r="61" spans="2:3" ht="12.75" customHeight="1" x14ac:dyDescent="0.2">
      <c r="B61" s="95" t="s">
        <v>153</v>
      </c>
      <c r="C61" s="93"/>
    </row>
    <row r="62" spans="2:3" ht="12.75" customHeight="1" x14ac:dyDescent="0.2">
      <c r="B62" s="93"/>
      <c r="C62" s="93"/>
    </row>
    <row r="63" spans="2:3" ht="12.75" customHeight="1" x14ac:dyDescent="0.2">
      <c r="B63" s="95" t="s">
        <v>154</v>
      </c>
      <c r="C63" s="103">
        <f>Sobres!C8</f>
        <v>0</v>
      </c>
    </row>
    <row r="64" spans="2:3" ht="12.75" customHeight="1" x14ac:dyDescent="0.2">
      <c r="B64" s="95" t="s">
        <v>155</v>
      </c>
      <c r="C64" s="104">
        <f>Sobres!D8</f>
        <v>0</v>
      </c>
    </row>
    <row r="65" spans="2:4" ht="12.75" customHeight="1" x14ac:dyDescent="0.2">
      <c r="B65" s="95" t="s">
        <v>150</v>
      </c>
      <c r="C65" s="103">
        <f>Sobres!E8</f>
        <v>0</v>
      </c>
    </row>
    <row r="66" spans="2:4" ht="12.75" customHeight="1" x14ac:dyDescent="0.2">
      <c r="B66" s="95" t="s">
        <v>151</v>
      </c>
      <c r="C66" s="104">
        <f>Sobres!F8</f>
        <v>0</v>
      </c>
    </row>
    <row r="67" spans="2:4" ht="12.75" customHeight="1" x14ac:dyDescent="0.2">
      <c r="B67" s="95" t="s">
        <v>156</v>
      </c>
      <c r="C67" s="103">
        <f>Sobres!G8</f>
        <v>0</v>
      </c>
    </row>
    <row r="68" spans="2:4" ht="12.75" customHeight="1" x14ac:dyDescent="0.2">
      <c r="B68" s="93"/>
      <c r="C68" s="93"/>
    </row>
    <row r="69" spans="2:4" ht="12.75" customHeight="1" x14ac:dyDescent="0.2">
      <c r="B69" s="95" t="s">
        <v>157</v>
      </c>
      <c r="C69" s="93"/>
    </row>
    <row r="70" spans="2:4" ht="12.75" customHeight="1" x14ac:dyDescent="0.2">
      <c r="B70" s="93"/>
      <c r="C70" s="93"/>
    </row>
    <row r="71" spans="2:4" ht="15.75" customHeight="1" x14ac:dyDescent="0.2">
      <c r="B71" s="95" t="s">
        <v>158</v>
      </c>
      <c r="C71" s="103">
        <f>Sobres!C9</f>
        <v>0</v>
      </c>
    </row>
    <row r="72" spans="2:4" ht="15.75" customHeight="1" x14ac:dyDescent="0.2">
      <c r="B72" s="95" t="s">
        <v>159</v>
      </c>
      <c r="C72" s="104">
        <f>Sobres!D9</f>
        <v>0</v>
      </c>
    </row>
    <row r="73" spans="2:4" ht="15.75" customHeight="1" x14ac:dyDescent="0.2">
      <c r="B73" s="95" t="s">
        <v>150</v>
      </c>
      <c r="C73" s="103">
        <f>Sobres!E9</f>
        <v>0</v>
      </c>
    </row>
    <row r="74" spans="2:4" ht="15.75" customHeight="1" x14ac:dyDescent="0.2">
      <c r="B74" s="95" t="s">
        <v>151</v>
      </c>
      <c r="C74" s="103">
        <f>Sobres!F9</f>
        <v>0</v>
      </c>
    </row>
    <row r="75" spans="2:4" ht="15.75" customHeight="1" x14ac:dyDescent="0.2">
      <c r="B75" s="95" t="s">
        <v>160</v>
      </c>
      <c r="C75" s="103">
        <f>Sobres!G9</f>
        <v>0</v>
      </c>
    </row>
    <row r="76" spans="2:4" ht="15.75" customHeight="1" x14ac:dyDescent="0.2"/>
    <row r="77" spans="2:4" ht="15.75" customHeight="1" x14ac:dyDescent="0.2"/>
    <row r="78" spans="2:4" ht="15.75" customHeight="1" x14ac:dyDescent="0.2"/>
    <row r="79" spans="2:4" ht="15.75" customHeight="1" x14ac:dyDescent="0.2"/>
    <row r="80" spans="2:4" ht="15.75" customHeight="1" x14ac:dyDescent="0.2">
      <c r="B80" s="119" t="s">
        <v>10</v>
      </c>
      <c r="C80" s="120"/>
      <c r="D80" s="121"/>
    </row>
    <row r="81" spans="2:4" ht="15.75" customHeight="1" x14ac:dyDescent="0.2">
      <c r="B81" s="127"/>
      <c r="C81" s="106"/>
      <c r="D81" s="128"/>
    </row>
    <row r="82" spans="2:4" ht="15.75" customHeight="1" x14ac:dyDescent="0.2">
      <c r="B82" s="127"/>
      <c r="C82" s="106"/>
      <c r="D82" s="128"/>
    </row>
    <row r="83" spans="2:4" ht="15.75" customHeight="1" x14ac:dyDescent="0.2">
      <c r="B83" s="122"/>
      <c r="C83" s="123"/>
      <c r="D83" s="124"/>
    </row>
    <row r="84" spans="2:4" ht="15.75" customHeight="1" x14ac:dyDescent="0.2"/>
    <row r="85" spans="2:4" ht="15.75" customHeight="1" x14ac:dyDescent="0.2"/>
    <row r="86" spans="2:4" ht="15.75" customHeight="1" x14ac:dyDescent="0.2"/>
    <row r="87" spans="2:4" ht="15.75" customHeight="1" x14ac:dyDescent="0.2"/>
    <row r="88" spans="2:4" ht="15.75" customHeight="1" x14ac:dyDescent="0.2"/>
    <row r="89" spans="2:4" ht="15.75" customHeight="1" x14ac:dyDescent="0.2"/>
    <row r="90" spans="2:4" ht="15.75" customHeight="1" x14ac:dyDescent="0.2"/>
    <row r="91" spans="2:4" ht="15.75" customHeight="1" x14ac:dyDescent="0.2"/>
    <row r="92" spans="2:4" ht="15.75" customHeight="1" x14ac:dyDescent="0.2"/>
    <row r="93" spans="2:4" ht="15.75" customHeight="1" x14ac:dyDescent="0.2"/>
    <row r="94" spans="2:4" ht="15.75" customHeight="1" x14ac:dyDescent="0.2"/>
    <row r="95" spans="2:4" ht="15.75" customHeight="1" x14ac:dyDescent="0.2"/>
    <row r="96" spans="2:4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</sheetData>
  <mergeCells count="3">
    <mergeCell ref="B2:C2"/>
    <mergeCell ref="B11:C11"/>
    <mergeCell ref="B80:D83"/>
  </mergeCells>
  <hyperlinks>
    <hyperlink ref="B80" location="Menu!A1" display="VOLVER AL MENÚ" xr:uid="{00000000-0004-0000-0A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Menu</vt:lpstr>
      <vt:lpstr>Primer Conteo</vt:lpstr>
      <vt:lpstr>A1</vt:lpstr>
      <vt:lpstr>A2</vt:lpstr>
      <vt:lpstr>A3</vt:lpstr>
      <vt:lpstr>A4</vt:lpstr>
      <vt:lpstr>Sobres</vt:lpstr>
      <vt:lpstr>Servicios</vt:lpstr>
      <vt:lpstr>Consolidado</vt:lpstr>
      <vt:lpstr>Inf.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Elias Simarra Salgado</cp:lastModifiedBy>
  <dcterms:created xsi:type="dcterms:W3CDTF">2026-02-11T13:19:11Z</dcterms:created>
  <dcterms:modified xsi:type="dcterms:W3CDTF">2026-02-11T13:22:29Z</dcterms:modified>
</cp:coreProperties>
</file>