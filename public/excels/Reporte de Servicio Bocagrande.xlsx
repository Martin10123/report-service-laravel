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fer\Desktop\"/>
    </mc:Choice>
  </mc:AlternateContent>
  <xr:revisionPtr revIDLastSave="0" documentId="13_ncr:1_{D7165F40-AD0C-4A67-BDFF-B1294A2341F5}" xr6:coauthVersionLast="47" xr6:coauthVersionMax="47" xr10:uidLastSave="{00000000-0000-0000-0000-000000000000}"/>
  <bookViews>
    <workbookView xWindow="-120" yWindow="-120" windowWidth="29040" windowHeight="15840" activeTab="4" xr2:uid="{9F34EDBC-3F1A-41A5-AE03-7D037B335655}"/>
  </bookViews>
  <sheets>
    <sheet name="Auditorio" sheetId="1" r:id="rId1"/>
    <sheet name="Iglekids" sheetId="2" r:id="rId2"/>
    <sheet name="Sobres" sheetId="8" r:id="rId3"/>
    <sheet name="Consolidado" sheetId="6" r:id="rId4"/>
    <sheet name="Informe" sheetId="7" r:id="rId5"/>
  </sheets>
  <definedNames>
    <definedName name="_xlnm.Print_Area" localSheetId="0">Auditorio!$A$1:$F$35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5" i="7" l="1"/>
  <c r="C20" i="6"/>
  <c r="C19" i="6"/>
  <c r="C23" i="6"/>
  <c r="C18" i="6"/>
  <c r="D18" i="6" s="1"/>
  <c r="C16" i="6"/>
  <c r="D8" i="1"/>
  <c r="C23" i="8"/>
  <c r="C57" i="7" s="1"/>
  <c r="C15" i="8"/>
  <c r="C17" i="8" s="1"/>
  <c r="C51" i="7" s="1"/>
  <c r="C7" i="8"/>
  <c r="C41" i="7" s="1"/>
  <c r="C58" i="7"/>
  <c r="C56" i="7"/>
  <c r="C55" i="7"/>
  <c r="C50" i="7"/>
  <c r="C48" i="7"/>
  <c r="C47" i="7"/>
  <c r="C42" i="7"/>
  <c r="C40" i="7"/>
  <c r="C39" i="7"/>
  <c r="C25" i="8" l="1"/>
  <c r="C59" i="7" s="1"/>
  <c r="C49" i="7"/>
  <c r="C9" i="8"/>
  <c r="C43" i="7" s="1"/>
  <c r="C11" i="7"/>
  <c r="C22" i="6"/>
  <c r="C21" i="6"/>
  <c r="D21" i="6" s="1"/>
  <c r="C23" i="7" s="1"/>
  <c r="D20" i="6"/>
  <c r="C22" i="7" s="1"/>
  <c r="D19" i="6"/>
  <c r="C21" i="7" s="1"/>
  <c r="C17" i="6"/>
  <c r="D17" i="6" s="1"/>
  <c r="C19" i="7" s="1"/>
  <c r="C15" i="6"/>
  <c r="C10" i="6"/>
  <c r="C8" i="6"/>
  <c r="C7" i="6"/>
  <c r="D13" i="2"/>
  <c r="D15" i="2" s="1"/>
  <c r="C9" i="6"/>
  <c r="D23" i="6" l="1"/>
  <c r="C9" i="7"/>
  <c r="D22" i="6"/>
  <c r="C24" i="7" s="1"/>
  <c r="D16" i="6"/>
  <c r="C18" i="7" s="1"/>
  <c r="C20" i="7"/>
  <c r="D7" i="6"/>
  <c r="D15" i="6"/>
  <c r="C17" i="7" s="1"/>
  <c r="C24" i="6"/>
  <c r="D10" i="6"/>
  <c r="C10" i="7" s="1"/>
  <c r="D9" i="6"/>
  <c r="D8" i="6"/>
  <c r="C13" i="7" l="1"/>
  <c r="C27" i="7"/>
  <c r="D24" i="6"/>
  <c r="C30" i="7" l="1"/>
</calcChain>
</file>

<file path=xl/sharedStrings.xml><?xml version="1.0" encoding="utf-8"?>
<sst xmlns="http://schemas.openxmlformats.org/spreadsheetml/2006/main" count="110" uniqueCount="89">
  <si>
    <t>Alabanza</t>
  </si>
  <si>
    <t>Servidora de Pastora</t>
  </si>
  <si>
    <t xml:space="preserve">Total sillas del área. </t>
  </si>
  <si>
    <t xml:space="preserve">Total personas </t>
  </si>
  <si>
    <t xml:space="preserve">Logística          </t>
  </si>
  <si>
    <t xml:space="preserve">Total silla vacías </t>
  </si>
  <si>
    <t xml:space="preserve">Servidores       </t>
  </si>
  <si>
    <t>Comunicaciones (dentro del auditorio)</t>
  </si>
  <si>
    <t>GRUPO 3</t>
  </si>
  <si>
    <r>
      <t xml:space="preserve">AREA : </t>
    </r>
    <r>
      <rPr>
        <b/>
        <sz val="16"/>
        <color theme="1"/>
        <rFont val="Amasis MT Pro Medium"/>
        <family val="1"/>
      </rPr>
      <t>A1</t>
    </r>
    <r>
      <rPr>
        <b/>
        <sz val="10"/>
        <color theme="1"/>
        <rFont val="Amasis MT Pro Medium"/>
        <family val="1"/>
      </rPr>
      <t xml:space="preserve">                 FECHA:</t>
    </r>
  </si>
  <si>
    <t>Ministerial</t>
  </si>
  <si>
    <t>Consolidación</t>
  </si>
  <si>
    <t>IGLEKIDS</t>
  </si>
  <si>
    <t xml:space="preserve">Coordinadoras:      </t>
  </si>
  <si>
    <t xml:space="preserve">Supervisoras:         </t>
  </si>
  <si>
    <t xml:space="preserve">Maestros:                </t>
  </si>
  <si>
    <t>Personal de Apoyo</t>
  </si>
  <si>
    <t xml:space="preserve">Recrearte:               </t>
  </si>
  <si>
    <t xml:space="preserve">Regikids:                 </t>
  </si>
  <si>
    <t xml:space="preserve">Logikids:                 </t>
  </si>
  <si>
    <t>Salud Kids:</t>
  </si>
  <si>
    <t xml:space="preserve">Total Apoyo: </t>
  </si>
  <si>
    <t xml:space="preserve">Total área Iglekids: </t>
  </si>
  <si>
    <t xml:space="preserve">Niños:                      </t>
  </si>
  <si>
    <t>Yo Soy</t>
  </si>
  <si>
    <t>FECHA</t>
  </si>
  <si>
    <t>RESUMEN GENERAL</t>
  </si>
  <si>
    <t>A1</t>
  </si>
  <si>
    <t>TOTALES</t>
  </si>
  <si>
    <t>AUDITORIO</t>
  </si>
  <si>
    <t xml:space="preserve">Sillas del área. </t>
  </si>
  <si>
    <t xml:space="preserve">Silla vacías </t>
  </si>
  <si>
    <t xml:space="preserve">Total Personas </t>
  </si>
  <si>
    <t xml:space="preserve">Total niños </t>
  </si>
  <si>
    <t>Total AUDITORIO</t>
  </si>
  <si>
    <t>SERVIDORES</t>
  </si>
  <si>
    <t>TOTAL</t>
  </si>
  <si>
    <t xml:space="preserve">Servidores: </t>
  </si>
  <si>
    <t xml:space="preserve">Consolidación: </t>
  </si>
  <si>
    <t>Comunicaciones:</t>
  </si>
  <si>
    <t xml:space="preserve">Logistica: </t>
  </si>
  <si>
    <t xml:space="preserve">Datafono: </t>
  </si>
  <si>
    <t>Ministerial:</t>
  </si>
  <si>
    <t xml:space="preserve">Alabanza: </t>
  </si>
  <si>
    <t>VIP:</t>
  </si>
  <si>
    <t>Iglekids:</t>
  </si>
  <si>
    <t>Total Servidores</t>
  </si>
  <si>
    <t>Areas</t>
  </si>
  <si>
    <t xml:space="preserve">Fecha:   </t>
  </si>
  <si>
    <t xml:space="preserve">Servicio: </t>
  </si>
  <si>
    <t xml:space="preserve">➖En Sillas: </t>
  </si>
  <si>
    <t>➖Niños Auditorio:</t>
  </si>
  <si>
    <t>➖Niños Iglekids:</t>
  </si>
  <si>
    <t xml:space="preserve">➖Servidores: </t>
  </si>
  <si>
    <t xml:space="preserve">➖Consolidación: </t>
  </si>
  <si>
    <t>➖Comunicaciones:</t>
  </si>
  <si>
    <t xml:space="preserve">➖Logistica: </t>
  </si>
  <si>
    <t xml:space="preserve">➖Datafono: </t>
  </si>
  <si>
    <t>➖Ministerial:</t>
  </si>
  <si>
    <t xml:space="preserve">➖Alabanza: </t>
  </si>
  <si>
    <t>➖VIP:</t>
  </si>
  <si>
    <t>➖Iglekids:</t>
  </si>
  <si>
    <t>➖Entregados:</t>
  </si>
  <si>
    <t xml:space="preserve">🟰Total: </t>
  </si>
  <si>
    <t xml:space="preserve">➖Entregados: </t>
  </si>
  <si>
    <t>Informe de Servicio GRUPO 3</t>
  </si>
  <si>
    <t xml:space="preserve"> Entregadas: </t>
  </si>
  <si>
    <t xml:space="preserve">Canastas Ofrendas </t>
  </si>
  <si>
    <t>Area De Servidores:</t>
  </si>
  <si>
    <t xml:space="preserve">Asistencia Personas </t>
  </si>
  <si>
    <t xml:space="preserve">Sobres Ofrendas  </t>
  </si>
  <si>
    <t xml:space="preserve">Sobres Protemplo </t>
  </si>
  <si>
    <t xml:space="preserve">Sobres Iglekids </t>
  </si>
  <si>
    <t>Total Personas Iglesia:</t>
  </si>
  <si>
    <t xml:space="preserve">Total Auditorio </t>
  </si>
  <si>
    <t>Total Área Servidores:</t>
  </si>
  <si>
    <t xml:space="preserve">Inicial Ofrendas: </t>
  </si>
  <si>
    <t xml:space="preserve">Recibidos: </t>
  </si>
  <si>
    <t>Total:</t>
  </si>
  <si>
    <t>Inicial Protemplo:</t>
  </si>
  <si>
    <t xml:space="preserve">Inicial Iglekids: </t>
  </si>
  <si>
    <t>Recibidos:</t>
  </si>
  <si>
    <t xml:space="preserve">Final Ofrendas: </t>
  </si>
  <si>
    <t xml:space="preserve">Final Protemplo: </t>
  </si>
  <si>
    <t>Final Iglekids:</t>
  </si>
  <si>
    <t>Inventario de Sobres</t>
  </si>
  <si>
    <t>Total Inventario Inicial</t>
  </si>
  <si>
    <t>Datafono</t>
  </si>
  <si>
    <t>Total niños en auditorio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</si>
</sst>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theme="1"/>
      <name val="Amasis MT Pro Medium"/>
      <family val="1"/>
    </font>
    <font>
      <sz val="8"/>
      <name val="Tahoma"/>
      <family val="2"/>
    </font>
    <font>
      <b/>
      <sz val="16"/>
      <color theme="1"/>
      <name val="Amasis MT Pro Medium"/>
      <family val="1"/>
    </font>
    <font>
      <b/>
      <sz val="12"/>
      <color theme="1"/>
      <name val="Tahoma"/>
      <family val="2"/>
    </font>
    <font>
      <b/>
      <sz val="14"/>
      <color theme="1"/>
      <name val="Tahoma"/>
      <family val="2"/>
    </font>
    <font>
      <sz val="14"/>
      <color theme="1"/>
      <name val="Tahoma"/>
      <family val="2"/>
    </font>
    <font>
      <b/>
      <sz val="9"/>
      <color theme="1"/>
      <name val="Tahoma"/>
      <family val="2"/>
    </font>
    <font>
      <u/>
      <sz val="10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28F84B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Protection="1">
      <protection locked="0"/>
    </xf>
    <xf numFmtId="0" fontId="0" fillId="0" borderId="2" xfId="0" applyBorder="1" applyAlignment="1" applyProtection="1">
      <alignment vertical="center"/>
      <protection locked="0"/>
    </xf>
    <xf numFmtId="0" fontId="1" fillId="0" borderId="3" xfId="0" applyFont="1" applyBorder="1" applyAlignment="1" applyProtection="1">
      <alignment vertical="center"/>
      <protection locked="0"/>
    </xf>
    <xf numFmtId="0" fontId="0" fillId="0" borderId="4" xfId="0" applyBorder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5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0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2" borderId="10" xfId="0" applyFill="1" applyBorder="1" applyAlignment="1" applyProtection="1">
      <alignment horizontal="center" vertical="center"/>
      <protection locked="0"/>
    </xf>
    <xf numFmtId="0" fontId="0" fillId="0" borderId="8" xfId="0" applyFill="1" applyBorder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4" borderId="10" xfId="0" applyFill="1" applyBorder="1" applyAlignment="1" applyProtection="1">
      <alignment horizontal="center" vertical="center"/>
      <protection hidden="1"/>
    </xf>
    <xf numFmtId="0" fontId="0" fillId="3" borderId="10" xfId="0" applyFill="1" applyBorder="1" applyAlignment="1" applyProtection="1">
      <alignment horizontal="center" vertical="center"/>
      <protection locked="0"/>
    </xf>
    <xf numFmtId="0" fontId="1" fillId="0" borderId="3" xfId="0" applyFont="1" applyBorder="1" applyProtection="1">
      <protection locked="0"/>
    </xf>
    <xf numFmtId="0" fontId="0" fillId="0" borderId="11" xfId="0" applyBorder="1" applyProtection="1">
      <protection locked="0"/>
    </xf>
    <xf numFmtId="0" fontId="6" fillId="0" borderId="11" xfId="0" applyFont="1" applyBorder="1" applyProtection="1">
      <protection locked="0"/>
    </xf>
    <xf numFmtId="0" fontId="5" fillId="0" borderId="11" xfId="0" applyFont="1" applyBorder="1" applyProtection="1">
      <protection locked="0"/>
    </xf>
    <xf numFmtId="0" fontId="1" fillId="0" borderId="5" xfId="0" applyFont="1" applyBorder="1" applyAlignment="1" applyProtection="1">
      <alignment horizontal="center" vertical="center" textRotation="90" wrapText="1"/>
      <protection locked="0"/>
    </xf>
    <xf numFmtId="0" fontId="2" fillId="6" borderId="0" xfId="0" applyFont="1" applyFill="1" applyBorder="1" applyProtection="1">
      <protection locked="0"/>
    </xf>
    <xf numFmtId="0" fontId="1" fillId="0" borderId="0" xfId="0" applyFont="1"/>
    <xf numFmtId="0" fontId="8" fillId="0" borderId="11" xfId="0" applyFont="1" applyBorder="1" applyAlignment="1">
      <alignment vertical="center"/>
    </xf>
    <xf numFmtId="0" fontId="8" fillId="0" borderId="11" xfId="0" applyFont="1" applyBorder="1" applyAlignment="1">
      <alignment horizontal="center" vertical="center"/>
    </xf>
    <xf numFmtId="0" fontId="0" fillId="0" borderId="11" xfId="0" applyBorder="1"/>
    <xf numFmtId="0" fontId="1" fillId="0" borderId="11" xfId="0" applyFont="1" applyBorder="1"/>
    <xf numFmtId="0" fontId="9" fillId="0" borderId="0" xfId="0" applyFont="1"/>
    <xf numFmtId="0" fontId="1" fillId="0" borderId="11" xfId="0" applyFont="1" applyBorder="1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applyBorder="1" applyAlignment="1" applyProtection="1">
      <alignment horizontal="right"/>
      <protection locked="0"/>
    </xf>
    <xf numFmtId="0" fontId="0" fillId="0" borderId="11" xfId="0" applyBorder="1" applyAlignment="1" applyProtection="1">
      <alignment horizontal="right"/>
      <protection locked="0"/>
    </xf>
    <xf numFmtId="0" fontId="5" fillId="5" borderId="11" xfId="0" applyFont="1" applyFill="1" applyBorder="1" applyAlignment="1" applyProtection="1">
      <alignment horizontal="right"/>
      <protection hidden="1"/>
    </xf>
    <xf numFmtId="0" fontId="0" fillId="0" borderId="0" xfId="0" applyFill="1" applyBorder="1" applyAlignment="1" applyProtection="1">
      <alignment horizontal="right"/>
      <protection hidden="1"/>
    </xf>
    <xf numFmtId="0" fontId="7" fillId="5" borderId="11" xfId="0" applyFont="1" applyFill="1" applyBorder="1" applyAlignment="1" applyProtection="1">
      <alignment horizontal="right"/>
      <protection hidden="1"/>
    </xf>
    <xf numFmtId="0" fontId="0" fillId="0" borderId="8" xfId="0" applyBorder="1" applyAlignment="1" applyProtection="1">
      <alignment horizontal="right"/>
      <protection locked="0"/>
    </xf>
    <xf numFmtId="14" fontId="0" fillId="0" borderId="0" xfId="0" applyNumberFormat="1" applyBorder="1" applyAlignment="1">
      <alignment horizontal="center"/>
    </xf>
    <xf numFmtId="14" fontId="0" fillId="0" borderId="1" xfId="0" applyNumberFormat="1" applyBorder="1" applyAlignment="1" applyProtection="1">
      <alignment horizontal="center" vertical="center"/>
      <protection locked="0"/>
    </xf>
    <xf numFmtId="0" fontId="1" fillId="6" borderId="0" xfId="0" applyFont="1" applyFill="1"/>
    <xf numFmtId="0" fontId="0" fillId="0" borderId="0" xfId="0" applyProtection="1">
      <protection hidden="1"/>
    </xf>
    <xf numFmtId="0" fontId="0" fillId="0" borderId="11" xfId="0" applyBorder="1" applyProtection="1">
      <protection hidden="1"/>
    </xf>
    <xf numFmtId="3" fontId="7" fillId="4" borderId="0" xfId="0" applyNumberFormat="1" applyFont="1" applyFill="1" applyProtection="1">
      <protection hidden="1"/>
    </xf>
    <xf numFmtId="3" fontId="7" fillId="0" borderId="0" xfId="0" applyNumberFormat="1" applyFont="1" applyProtection="1">
      <protection hidden="1"/>
    </xf>
    <xf numFmtId="3" fontId="0" fillId="0" borderId="0" xfId="0" applyNumberFormat="1" applyProtection="1">
      <protection hidden="1"/>
    </xf>
    <xf numFmtId="3" fontId="0" fillId="0" borderId="0" xfId="0" applyNumberFormat="1" applyProtection="1">
      <protection locked="0"/>
    </xf>
    <xf numFmtId="0" fontId="0" fillId="2" borderId="0" xfId="0" applyFill="1" applyProtection="1">
      <protection locked="0"/>
    </xf>
    <xf numFmtId="0" fontId="7" fillId="4" borderId="0" xfId="0" applyFont="1" applyFill="1" applyProtection="1">
      <protection locked="0"/>
    </xf>
    <xf numFmtId="3" fontId="7" fillId="4" borderId="0" xfId="0" applyNumberFormat="1" applyFont="1" applyFill="1" applyProtection="1">
      <protection locked="0"/>
    </xf>
    <xf numFmtId="0" fontId="0" fillId="0" borderId="0" xfId="0" applyAlignment="1" applyProtection="1">
      <protection locked="0"/>
    </xf>
    <xf numFmtId="0" fontId="7" fillId="0" borderId="0" xfId="0" applyFont="1" applyProtection="1">
      <protection locked="0"/>
    </xf>
    <xf numFmtId="3" fontId="7" fillId="0" borderId="0" xfId="0" applyNumberFormat="1" applyFont="1" applyProtection="1">
      <protection locked="0"/>
    </xf>
    <xf numFmtId="14" fontId="0" fillId="0" borderId="1" xfId="0" applyNumberFormat="1" applyBorder="1" applyAlignment="1">
      <alignment horizontal="center"/>
    </xf>
    <xf numFmtId="0" fontId="1" fillId="0" borderId="12" xfId="0" applyFont="1" applyBorder="1" applyAlignment="1" applyProtection="1">
      <alignment horizontal="center" vertical="center" textRotation="90" wrapText="1"/>
      <protection locked="0"/>
    </xf>
    <xf numFmtId="0" fontId="5" fillId="6" borderId="5" xfId="0" applyFont="1" applyFill="1" applyBorder="1" applyAlignment="1" applyProtection="1">
      <alignment horizontal="center"/>
      <protection locked="0"/>
    </xf>
    <xf numFmtId="0" fontId="5" fillId="6" borderId="0" xfId="0" applyFont="1" applyFill="1" applyBorder="1" applyAlignment="1" applyProtection="1">
      <alignment horizontal="center"/>
      <protection locked="0"/>
    </xf>
    <xf numFmtId="0" fontId="5" fillId="6" borderId="6" xfId="0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6" fillId="6" borderId="1" xfId="0" applyFont="1" applyFill="1" applyBorder="1" applyAlignment="1">
      <alignment horizontal="center"/>
    </xf>
    <xf numFmtId="0" fontId="6" fillId="6" borderId="0" xfId="0" applyFont="1" applyFill="1" applyBorder="1" applyAlignment="1">
      <alignment horizontal="center" vertical="center"/>
    </xf>
    <xf numFmtId="0" fontId="0" fillId="0" borderId="3" xfId="0" applyFill="1" applyBorder="1" applyAlignment="1" applyProtection="1">
      <alignment horizontal="right"/>
      <protection hidden="1"/>
    </xf>
    <xf numFmtId="0" fontId="6" fillId="0" borderId="13" xfId="0" applyFont="1" applyBorder="1" applyProtection="1">
      <protection locked="0"/>
    </xf>
    <xf numFmtId="0" fontId="7" fillId="2" borderId="13" xfId="0" applyFont="1" applyFill="1" applyBorder="1" applyAlignment="1" applyProtection="1">
      <alignment horizontal="right"/>
      <protection locked="0"/>
    </xf>
    <xf numFmtId="0" fontId="0" fillId="0" borderId="11" xfId="0" applyFill="1" applyBorder="1"/>
    <xf numFmtId="0" fontId="0" fillId="0" borderId="11" xfId="0" applyFill="1" applyBorder="1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8F8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8AB20-31E4-40CB-A45D-3B012FEE1772}">
  <sheetPr>
    <tabColor rgb="FF28F84B"/>
    <pageSetUpPr fitToPage="1"/>
  </sheetPr>
  <dimension ref="A1:F35"/>
  <sheetViews>
    <sheetView workbookViewId="0">
      <selection activeCell="D19" sqref="D19"/>
    </sheetView>
  </sheetViews>
  <sheetFormatPr baseColWidth="10" defaultRowHeight="12.75" x14ac:dyDescent="0.2"/>
  <cols>
    <col min="1" max="1" width="1.5703125" style="1" customWidth="1"/>
    <col min="2" max="2" width="3" style="1" customWidth="1"/>
    <col min="3" max="3" width="32.42578125" style="1" customWidth="1"/>
    <col min="4" max="4" width="17.5703125" style="17" customWidth="1"/>
    <col min="5" max="5" width="3" style="1" customWidth="1"/>
    <col min="6" max="6" width="14" style="1" customWidth="1"/>
    <col min="7" max="16384" width="11.42578125" style="1"/>
  </cols>
  <sheetData>
    <row r="1" spans="1:6" ht="13.5" thickBot="1" x14ac:dyDescent="0.25"/>
    <row r="2" spans="1:6" s="5" customFormat="1" ht="24" customHeight="1" x14ac:dyDescent="0.2">
      <c r="B2" s="2"/>
      <c r="C2" s="3" t="s">
        <v>8</v>
      </c>
      <c r="D2" s="16"/>
      <c r="E2" s="4"/>
    </row>
    <row r="3" spans="1:6" ht="16.5" customHeight="1" x14ac:dyDescent="0.3">
      <c r="B3" s="6"/>
      <c r="C3" s="31" t="s">
        <v>9</v>
      </c>
      <c r="D3" s="47"/>
      <c r="E3" s="7"/>
    </row>
    <row r="4" spans="1:6" ht="16.5" customHeight="1" thickBot="1" x14ac:dyDescent="0.25">
      <c r="B4" s="6"/>
      <c r="C4" s="8"/>
      <c r="D4" s="18"/>
      <c r="E4" s="7"/>
    </row>
    <row r="5" spans="1:6" ht="16.5" customHeight="1" thickBot="1" x14ac:dyDescent="0.25">
      <c r="A5" s="8"/>
      <c r="B5" s="9"/>
      <c r="C5" s="10"/>
      <c r="D5" s="16"/>
      <c r="E5" s="11"/>
    </row>
    <row r="6" spans="1:6" ht="25.5" customHeight="1" thickBot="1" x14ac:dyDescent="0.25">
      <c r="B6" s="6"/>
      <c r="C6" s="8" t="s">
        <v>2</v>
      </c>
      <c r="D6" s="19">
        <v>200</v>
      </c>
      <c r="E6" s="7"/>
      <c r="F6" s="8"/>
    </row>
    <row r="7" spans="1:6" ht="25.5" customHeight="1" thickBot="1" x14ac:dyDescent="0.25">
      <c r="B7" s="6"/>
      <c r="C7" s="8" t="s">
        <v>5</v>
      </c>
      <c r="D7" s="25">
        <v>5</v>
      </c>
      <c r="E7" s="7"/>
      <c r="F7" s="8"/>
    </row>
    <row r="8" spans="1:6" ht="25.5" customHeight="1" thickBot="1" x14ac:dyDescent="0.25">
      <c r="B8" s="6"/>
      <c r="C8" s="8" t="s">
        <v>3</v>
      </c>
      <c r="D8" s="24">
        <f>(D6-D7)-(D9+D12+D14+D15+D16+D18)</f>
        <v>143</v>
      </c>
      <c r="E8" s="7"/>
      <c r="F8" s="8"/>
    </row>
    <row r="9" spans="1:6" ht="25.5" customHeight="1" thickBot="1" x14ac:dyDescent="0.25">
      <c r="B9" s="6"/>
      <c r="C9" s="8" t="s">
        <v>88</v>
      </c>
      <c r="D9" s="19">
        <v>10</v>
      </c>
      <c r="E9" s="7"/>
      <c r="F9" s="8"/>
    </row>
    <row r="10" spans="1:6" ht="25.5" customHeight="1" thickBot="1" x14ac:dyDescent="0.25">
      <c r="B10" s="13"/>
      <c r="C10" s="14"/>
      <c r="D10" s="20"/>
      <c r="E10" s="15"/>
    </row>
    <row r="11" spans="1:6" s="8" customFormat="1" ht="25.5" customHeight="1" thickBot="1" x14ac:dyDescent="0.25">
      <c r="B11" s="6"/>
      <c r="D11" s="21"/>
      <c r="E11" s="7"/>
    </row>
    <row r="12" spans="1:6" ht="25.5" customHeight="1" thickBot="1" x14ac:dyDescent="0.25">
      <c r="B12" s="6"/>
      <c r="C12" s="8" t="s">
        <v>6</v>
      </c>
      <c r="D12" s="19">
        <v>10</v>
      </c>
      <c r="E12" s="7"/>
      <c r="F12" s="8"/>
    </row>
    <row r="13" spans="1:6" ht="25.5" customHeight="1" thickBot="1" x14ac:dyDescent="0.25">
      <c r="B13" s="6"/>
      <c r="C13" s="8" t="s">
        <v>7</v>
      </c>
      <c r="D13" s="19">
        <v>10</v>
      </c>
      <c r="E13" s="7"/>
      <c r="F13" s="8"/>
    </row>
    <row r="14" spans="1:6" ht="25.5" customHeight="1" thickBot="1" x14ac:dyDescent="0.25">
      <c r="B14" s="6"/>
      <c r="C14" s="8" t="s">
        <v>4</v>
      </c>
      <c r="D14" s="19">
        <v>10</v>
      </c>
      <c r="E14" s="7"/>
      <c r="F14" s="8"/>
    </row>
    <row r="15" spans="1:6" ht="25.5" customHeight="1" thickBot="1" x14ac:dyDescent="0.25">
      <c r="B15" s="6"/>
      <c r="C15" s="8" t="s">
        <v>0</v>
      </c>
      <c r="D15" s="19">
        <v>10</v>
      </c>
      <c r="E15" s="7"/>
      <c r="F15" s="8"/>
    </row>
    <row r="16" spans="1:6" ht="25.5" customHeight="1" thickBot="1" x14ac:dyDescent="0.25">
      <c r="B16" s="6"/>
      <c r="C16" s="8" t="s">
        <v>11</v>
      </c>
      <c r="D16" s="19">
        <v>10</v>
      </c>
      <c r="E16" s="7"/>
      <c r="F16" s="8"/>
    </row>
    <row r="17" spans="2:6" ht="25.5" customHeight="1" thickBot="1" x14ac:dyDescent="0.25">
      <c r="B17" s="6"/>
      <c r="C17" s="8" t="s">
        <v>87</v>
      </c>
      <c r="D17" s="19">
        <v>10</v>
      </c>
      <c r="E17" s="7"/>
      <c r="F17" s="8"/>
    </row>
    <row r="18" spans="2:6" ht="25.5" customHeight="1" thickBot="1" x14ac:dyDescent="0.25">
      <c r="B18" s="6"/>
      <c r="C18" s="8" t="s">
        <v>10</v>
      </c>
      <c r="D18" s="19">
        <v>2</v>
      </c>
      <c r="E18" s="7"/>
      <c r="F18" s="8"/>
    </row>
    <row r="19" spans="2:6" ht="25.5" customHeight="1" thickBot="1" x14ac:dyDescent="0.25">
      <c r="B19" s="13"/>
      <c r="C19" s="14"/>
      <c r="D19" s="20"/>
      <c r="E19" s="15"/>
    </row>
    <row r="20" spans="2:6" ht="25.5" customHeight="1" thickBot="1" x14ac:dyDescent="0.25">
      <c r="B20" s="6"/>
      <c r="C20" s="8"/>
      <c r="D20" s="21"/>
      <c r="E20" s="7"/>
    </row>
    <row r="21" spans="2:6" ht="25.5" customHeight="1" thickBot="1" x14ac:dyDescent="0.25">
      <c r="B21" s="6"/>
      <c r="C21" s="8" t="s">
        <v>1</v>
      </c>
      <c r="D21" s="19">
        <v>1</v>
      </c>
      <c r="E21" s="7"/>
    </row>
    <row r="22" spans="2:6" ht="25.5" customHeight="1" x14ac:dyDescent="0.2">
      <c r="B22" s="6"/>
      <c r="C22" s="12"/>
      <c r="D22" s="22"/>
      <c r="E22" s="7"/>
      <c r="F22" s="8"/>
    </row>
    <row r="23" spans="2:6" ht="25.5" customHeight="1" thickBot="1" x14ac:dyDescent="0.25">
      <c r="B23" s="13"/>
      <c r="C23" s="14"/>
      <c r="D23" s="23"/>
      <c r="E23" s="15"/>
    </row>
    <row r="24" spans="2:6" ht="16.5" customHeight="1" x14ac:dyDescent="0.2">
      <c r="B24" s="8"/>
      <c r="C24" s="8"/>
      <c r="D24" s="18"/>
      <c r="E24" s="8"/>
    </row>
    <row r="25" spans="2:6" ht="19.5" customHeight="1" x14ac:dyDescent="0.2">
      <c r="F25" s="8"/>
    </row>
    <row r="26" spans="2:6" ht="19.5" customHeight="1" x14ac:dyDescent="0.2">
      <c r="F26" s="8"/>
    </row>
    <row r="27" spans="2:6" ht="19.5" customHeight="1" x14ac:dyDescent="0.2">
      <c r="F27" s="8"/>
    </row>
    <row r="28" spans="2:6" ht="17.25" customHeight="1" x14ac:dyDescent="0.2"/>
    <row r="29" spans="2:6" ht="17.25" customHeight="1" x14ac:dyDescent="0.2">
      <c r="F29" s="8"/>
    </row>
    <row r="30" spans="2:6" ht="17.25" customHeight="1" x14ac:dyDescent="0.2"/>
    <row r="31" spans="2:6" ht="17.25" customHeight="1" x14ac:dyDescent="0.2">
      <c r="F31" s="8"/>
    </row>
    <row r="32" spans="2:6" ht="17.25" customHeight="1" x14ac:dyDescent="0.2"/>
    <row r="33" ht="17.25" customHeight="1" x14ac:dyDescent="0.2"/>
    <row r="34" ht="17.25" customHeight="1" x14ac:dyDescent="0.2"/>
    <row r="35" ht="17.25" customHeight="1" x14ac:dyDescent="0.2"/>
  </sheetData>
  <sheetProtection formatCells="0"/>
  <phoneticPr fontId="3" type="noConversion"/>
  <pageMargins left="0.9055118110236221" right="0.31496062992125984" top="0.74803149606299213" bottom="0.74803149606299213" header="0.31496062992125984" footer="0.31496062992125984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1EB80-1B3A-46AA-9865-6C5BFE2F1DA1}">
  <sheetPr>
    <tabColor rgb="FF28F84B"/>
  </sheetPr>
  <dimension ref="B1:E17"/>
  <sheetViews>
    <sheetView workbookViewId="0">
      <selection activeCell="D17" sqref="D17"/>
    </sheetView>
  </sheetViews>
  <sheetFormatPr baseColWidth="10" defaultRowHeight="12.75" x14ac:dyDescent="0.2"/>
  <cols>
    <col min="1" max="1" width="4.85546875" customWidth="1"/>
    <col min="2" max="2" width="6" customWidth="1"/>
    <col min="3" max="3" width="31.7109375" bestFit="1" customWidth="1"/>
    <col min="4" max="4" width="18.28515625" style="39" customWidth="1"/>
    <col min="5" max="5" width="4.5703125" customWidth="1"/>
  </cols>
  <sheetData>
    <row r="1" spans="2:5" x14ac:dyDescent="0.2">
      <c r="B1" s="9"/>
      <c r="C1" s="26"/>
      <c r="D1" s="70"/>
      <c r="E1" s="11"/>
    </row>
    <row r="2" spans="2:5" ht="15" x14ac:dyDescent="0.2">
      <c r="B2" s="63" t="s">
        <v>12</v>
      </c>
      <c r="C2" s="64"/>
      <c r="D2" s="64"/>
      <c r="E2" s="65"/>
    </row>
    <row r="3" spans="2:5" x14ac:dyDescent="0.2">
      <c r="B3" s="6"/>
      <c r="C3" s="8"/>
      <c r="D3" s="40"/>
      <c r="E3" s="7"/>
    </row>
    <row r="4" spans="2:5" x14ac:dyDescent="0.2">
      <c r="B4" s="6"/>
      <c r="C4" s="27" t="s">
        <v>13</v>
      </c>
      <c r="D4" s="41">
        <v>2</v>
      </c>
      <c r="E4" s="7"/>
    </row>
    <row r="5" spans="2:5" x14ac:dyDescent="0.2">
      <c r="B5" s="6"/>
      <c r="C5" s="27" t="s">
        <v>14</v>
      </c>
      <c r="D5" s="41">
        <v>4</v>
      </c>
      <c r="E5" s="7"/>
    </row>
    <row r="6" spans="2:5" x14ac:dyDescent="0.2">
      <c r="B6" s="6"/>
      <c r="C6" s="27" t="s">
        <v>15</v>
      </c>
      <c r="D6" s="41">
        <v>10</v>
      </c>
      <c r="E6" s="7"/>
    </row>
    <row r="7" spans="2:5" x14ac:dyDescent="0.2">
      <c r="B7" s="6"/>
      <c r="C7" s="8"/>
      <c r="D7" s="40"/>
      <c r="E7" s="7"/>
    </row>
    <row r="8" spans="2:5" x14ac:dyDescent="0.2">
      <c r="B8" s="62" t="s">
        <v>16</v>
      </c>
      <c r="C8" s="27" t="s">
        <v>17</v>
      </c>
      <c r="D8" s="41">
        <v>5</v>
      </c>
      <c r="E8" s="7"/>
    </row>
    <row r="9" spans="2:5" x14ac:dyDescent="0.2">
      <c r="B9" s="62"/>
      <c r="C9" s="27" t="s">
        <v>18</v>
      </c>
      <c r="D9" s="41">
        <v>2</v>
      </c>
      <c r="E9" s="7"/>
    </row>
    <row r="10" spans="2:5" x14ac:dyDescent="0.2">
      <c r="B10" s="62"/>
      <c r="C10" s="27" t="s">
        <v>19</v>
      </c>
      <c r="D10" s="41">
        <v>2</v>
      </c>
      <c r="E10" s="7"/>
    </row>
    <row r="11" spans="2:5" x14ac:dyDescent="0.2">
      <c r="B11" s="62"/>
      <c r="C11" s="27" t="s">
        <v>20</v>
      </c>
      <c r="D11" s="41">
        <v>1</v>
      </c>
      <c r="E11" s="7"/>
    </row>
    <row r="12" spans="2:5" x14ac:dyDescent="0.2">
      <c r="B12" s="62"/>
      <c r="C12" s="27" t="s">
        <v>24</v>
      </c>
      <c r="D12" s="41">
        <v>4</v>
      </c>
      <c r="E12" s="7"/>
    </row>
    <row r="13" spans="2:5" ht="15" x14ac:dyDescent="0.2">
      <c r="B13" s="62"/>
      <c r="C13" s="29" t="s">
        <v>21</v>
      </c>
      <c r="D13" s="42">
        <f>SUM(D8:D12)</f>
        <v>14</v>
      </c>
      <c r="E13" s="7"/>
    </row>
    <row r="14" spans="2:5" x14ac:dyDescent="0.2">
      <c r="B14" s="30"/>
      <c r="C14" s="8"/>
      <c r="D14" s="43"/>
      <c r="E14" s="7"/>
    </row>
    <row r="15" spans="2:5" ht="18" x14ac:dyDescent="0.25">
      <c r="B15" s="6"/>
      <c r="C15" s="28" t="s">
        <v>22</v>
      </c>
      <c r="D15" s="44">
        <f>D13+D4+D5+D6</f>
        <v>30</v>
      </c>
      <c r="E15" s="7"/>
    </row>
    <row r="16" spans="2:5" ht="18.75" thickBot="1" x14ac:dyDescent="0.3">
      <c r="B16" s="13"/>
      <c r="C16" s="71" t="s">
        <v>23</v>
      </c>
      <c r="D16" s="72">
        <v>20</v>
      </c>
      <c r="E16" s="15"/>
    </row>
    <row r="17" spans="2:5" ht="13.5" thickBot="1" x14ac:dyDescent="0.25">
      <c r="B17" s="13"/>
      <c r="C17" s="14"/>
      <c r="D17" s="45"/>
      <c r="E17" s="15"/>
    </row>
  </sheetData>
  <sheetProtection formatCells="0"/>
  <mergeCells count="2">
    <mergeCell ref="B8:B13"/>
    <mergeCell ref="B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01491-5550-4801-80AE-10ADF16CB240}">
  <sheetPr>
    <tabColor rgb="FF28F84B"/>
  </sheetPr>
  <dimension ref="B1:C25"/>
  <sheetViews>
    <sheetView workbookViewId="0">
      <selection activeCell="C25" sqref="C25"/>
    </sheetView>
  </sheetViews>
  <sheetFormatPr baseColWidth="10" defaultRowHeight="12.75" x14ac:dyDescent="0.2"/>
  <cols>
    <col min="1" max="1" width="3.85546875" style="1" customWidth="1"/>
    <col min="2" max="2" width="20.85546875" style="1" customWidth="1"/>
    <col min="3" max="3" width="14.5703125" style="1" customWidth="1"/>
    <col min="4" max="16384" width="11.42578125" style="1"/>
  </cols>
  <sheetData>
    <row r="1" spans="2:3" ht="18" x14ac:dyDescent="0.25">
      <c r="B1" s="67" t="s">
        <v>85</v>
      </c>
      <c r="C1" s="67"/>
    </row>
    <row r="3" spans="2:3" ht="18" x14ac:dyDescent="0.25">
      <c r="B3" s="66" t="s">
        <v>70</v>
      </c>
      <c r="C3" s="66"/>
    </row>
    <row r="4" spans="2:3" x14ac:dyDescent="0.2">
      <c r="C4" s="54"/>
    </row>
    <row r="5" spans="2:3" x14ac:dyDescent="0.2">
      <c r="B5" s="1" t="s">
        <v>76</v>
      </c>
      <c r="C5" s="54">
        <v>100</v>
      </c>
    </row>
    <row r="6" spans="2:3" x14ac:dyDescent="0.2">
      <c r="B6" s="1" t="s">
        <v>77</v>
      </c>
      <c r="C6" s="54">
        <v>50</v>
      </c>
    </row>
    <row r="7" spans="2:3" x14ac:dyDescent="0.2">
      <c r="B7" s="1" t="s">
        <v>86</v>
      </c>
      <c r="C7" s="53">
        <f>C5+C6</f>
        <v>150</v>
      </c>
    </row>
    <row r="8" spans="2:3" x14ac:dyDescent="0.2">
      <c r="B8" s="55" t="s">
        <v>62</v>
      </c>
      <c r="C8" s="54">
        <v>50</v>
      </c>
    </row>
    <row r="9" spans="2:3" ht="18" x14ac:dyDescent="0.25">
      <c r="B9" s="56" t="s">
        <v>82</v>
      </c>
      <c r="C9" s="51">
        <f>C7-C8</f>
        <v>100</v>
      </c>
    </row>
    <row r="10" spans="2:3" x14ac:dyDescent="0.2">
      <c r="C10" s="54"/>
    </row>
    <row r="11" spans="2:3" ht="18" x14ac:dyDescent="0.25">
      <c r="B11" s="66" t="s">
        <v>71</v>
      </c>
      <c r="C11" s="66"/>
    </row>
    <row r="12" spans="2:3" x14ac:dyDescent="0.2">
      <c r="C12" s="54"/>
    </row>
    <row r="13" spans="2:3" x14ac:dyDescent="0.2">
      <c r="B13" s="1" t="s">
        <v>79</v>
      </c>
      <c r="C13" s="54">
        <v>20</v>
      </c>
    </row>
    <row r="14" spans="2:3" x14ac:dyDescent="0.2">
      <c r="B14" s="1" t="s">
        <v>77</v>
      </c>
      <c r="C14" s="54">
        <v>10</v>
      </c>
    </row>
    <row r="15" spans="2:3" x14ac:dyDescent="0.2">
      <c r="B15" s="1" t="s">
        <v>86</v>
      </c>
      <c r="C15" s="53">
        <f>C13+C14</f>
        <v>30</v>
      </c>
    </row>
    <row r="16" spans="2:3" x14ac:dyDescent="0.2">
      <c r="B16" s="55" t="s">
        <v>64</v>
      </c>
      <c r="C16" s="54">
        <v>10</v>
      </c>
    </row>
    <row r="17" spans="2:3" ht="18" x14ac:dyDescent="0.25">
      <c r="B17" s="56" t="s">
        <v>83</v>
      </c>
      <c r="C17" s="51">
        <f>C15-C16</f>
        <v>20</v>
      </c>
    </row>
    <row r="18" spans="2:3" x14ac:dyDescent="0.2">
      <c r="C18" s="54"/>
    </row>
    <row r="19" spans="2:3" ht="18" x14ac:dyDescent="0.25">
      <c r="B19" s="66" t="s">
        <v>72</v>
      </c>
      <c r="C19" s="66"/>
    </row>
    <row r="20" spans="2:3" x14ac:dyDescent="0.2">
      <c r="C20" s="54"/>
    </row>
    <row r="21" spans="2:3" x14ac:dyDescent="0.2">
      <c r="B21" s="1" t="s">
        <v>80</v>
      </c>
      <c r="C21" s="54">
        <v>100</v>
      </c>
    </row>
    <row r="22" spans="2:3" x14ac:dyDescent="0.2">
      <c r="B22" s="1" t="s">
        <v>81</v>
      </c>
      <c r="C22" s="54">
        <v>20</v>
      </c>
    </row>
    <row r="23" spans="2:3" x14ac:dyDescent="0.2">
      <c r="B23" s="1" t="s">
        <v>86</v>
      </c>
      <c r="C23" s="53">
        <f>C21+C22</f>
        <v>120</v>
      </c>
    </row>
    <row r="24" spans="2:3" x14ac:dyDescent="0.2">
      <c r="B24" s="55" t="s">
        <v>64</v>
      </c>
      <c r="C24" s="54">
        <v>15</v>
      </c>
    </row>
    <row r="25" spans="2:3" ht="18" x14ac:dyDescent="0.25">
      <c r="B25" s="56" t="s">
        <v>84</v>
      </c>
      <c r="C25" s="51">
        <f>C23-C24</f>
        <v>105</v>
      </c>
    </row>
  </sheetData>
  <sheetProtection algorithmName="SHA-512" hashValue="tFuRzuwOGw5c9uyHxo8I7+yICnGMn8y4FcVUzz3eUeuwOfoctlCgxtJkKZpXyW3g/AAZNQWZpCnd+J4pSgUYaw==" saltValue="+q9stiYWe6nhQKfE6sBXGQ==" spinCount="100000" sheet="1" objects="1" scenarios="1" formatCells="0"/>
  <mergeCells count="4">
    <mergeCell ref="B3:C3"/>
    <mergeCell ref="B11:C11"/>
    <mergeCell ref="B19:C19"/>
    <mergeCell ref="B1:C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143EE-0F87-4C5F-A6FA-D244D2FEBD1B}">
  <sheetPr>
    <tabColor rgb="FF00B0F0"/>
  </sheetPr>
  <dimension ref="B2:E25"/>
  <sheetViews>
    <sheetView workbookViewId="0">
      <selection activeCell="C21" sqref="C21"/>
    </sheetView>
  </sheetViews>
  <sheetFormatPr baseColWidth="10" defaultRowHeight="12.75" x14ac:dyDescent="0.2"/>
  <cols>
    <col min="1" max="1" width="6" customWidth="1"/>
    <col min="2" max="2" width="23.28515625" customWidth="1"/>
  </cols>
  <sheetData>
    <row r="2" spans="2:5" x14ac:dyDescent="0.2">
      <c r="B2" s="48" t="s">
        <v>25</v>
      </c>
      <c r="C2" s="61"/>
    </row>
    <row r="3" spans="2:5" x14ac:dyDescent="0.2">
      <c r="B3" s="32"/>
      <c r="C3" s="46"/>
    </row>
    <row r="4" spans="2:5" x14ac:dyDescent="0.2">
      <c r="B4" s="32"/>
      <c r="C4" s="46"/>
    </row>
    <row r="5" spans="2:5" ht="18" x14ac:dyDescent="0.25">
      <c r="B5" s="68" t="s">
        <v>29</v>
      </c>
      <c r="C5" s="68"/>
      <c r="D5" s="68"/>
    </row>
    <row r="6" spans="2:5" x14ac:dyDescent="0.2">
      <c r="B6" s="33" t="s">
        <v>26</v>
      </c>
      <c r="C6" s="34" t="s">
        <v>27</v>
      </c>
      <c r="D6" s="34" t="s">
        <v>28</v>
      </c>
    </row>
    <row r="7" spans="2:5" x14ac:dyDescent="0.2">
      <c r="B7" s="35" t="s">
        <v>30</v>
      </c>
      <c r="C7" s="35">
        <f>Auditorio!D6</f>
        <v>200</v>
      </c>
      <c r="D7" s="50">
        <f>SUM(C7:C7)</f>
        <v>200</v>
      </c>
    </row>
    <row r="8" spans="2:5" x14ac:dyDescent="0.2">
      <c r="B8" s="35" t="s">
        <v>31</v>
      </c>
      <c r="C8" s="35">
        <f>Auditorio!D7</f>
        <v>5</v>
      </c>
      <c r="D8" s="50">
        <f>SUM(C8:C8)</f>
        <v>5</v>
      </c>
    </row>
    <row r="9" spans="2:5" x14ac:dyDescent="0.2">
      <c r="B9" s="35" t="s">
        <v>32</v>
      </c>
      <c r="C9" s="35">
        <f>Auditorio!D8</f>
        <v>143</v>
      </c>
      <c r="D9" s="50">
        <f>SUM(C9:C9)</f>
        <v>143</v>
      </c>
    </row>
    <row r="10" spans="2:5" x14ac:dyDescent="0.2">
      <c r="B10" s="35" t="s">
        <v>33</v>
      </c>
      <c r="C10" s="35">
        <f>Auditorio!D9</f>
        <v>10</v>
      </c>
      <c r="D10" s="50">
        <f>SUM(C10:C10)</f>
        <v>10</v>
      </c>
    </row>
    <row r="11" spans="2:5" x14ac:dyDescent="0.2">
      <c r="B11" s="36" t="s">
        <v>34</v>
      </c>
      <c r="C11" s="35"/>
      <c r="D11" s="35"/>
    </row>
    <row r="12" spans="2:5" x14ac:dyDescent="0.2">
      <c r="B12" s="37"/>
    </row>
    <row r="13" spans="2:5" ht="18" x14ac:dyDescent="0.2">
      <c r="B13" s="69" t="s">
        <v>35</v>
      </c>
      <c r="C13" s="69"/>
      <c r="D13" s="69"/>
    </row>
    <row r="14" spans="2:5" x14ac:dyDescent="0.2">
      <c r="B14" s="38" t="s">
        <v>47</v>
      </c>
      <c r="C14" s="34" t="s">
        <v>27</v>
      </c>
      <c r="D14" s="34" t="s">
        <v>36</v>
      </c>
    </row>
    <row r="15" spans="2:5" x14ac:dyDescent="0.2">
      <c r="B15" s="35" t="s">
        <v>37</v>
      </c>
      <c r="C15" s="35">
        <f>Auditorio!D12</f>
        <v>10</v>
      </c>
      <c r="D15" s="50">
        <f>SUM(C15:C15)</f>
        <v>10</v>
      </c>
    </row>
    <row r="16" spans="2:5" x14ac:dyDescent="0.2">
      <c r="B16" s="35" t="s">
        <v>38</v>
      </c>
      <c r="C16" s="73">
        <f>Auditorio!D16</f>
        <v>10</v>
      </c>
      <c r="D16" s="50">
        <f>SUM(C16:C16)</f>
        <v>10</v>
      </c>
      <c r="E16" s="49"/>
    </row>
    <row r="17" spans="2:4" x14ac:dyDescent="0.2">
      <c r="B17" s="35" t="s">
        <v>39</v>
      </c>
      <c r="C17" s="35">
        <f>Auditorio!D13</f>
        <v>10</v>
      </c>
      <c r="D17" s="50">
        <f>SUM(C17:C17)</f>
        <v>10</v>
      </c>
    </row>
    <row r="18" spans="2:4" x14ac:dyDescent="0.2">
      <c r="B18" s="35" t="s">
        <v>40</v>
      </c>
      <c r="C18" s="35">
        <f>Auditorio!D14</f>
        <v>10</v>
      </c>
      <c r="D18" s="50">
        <f>SUM(C18:C18)</f>
        <v>10</v>
      </c>
    </row>
    <row r="19" spans="2:4" x14ac:dyDescent="0.2">
      <c r="B19" s="35" t="s">
        <v>41</v>
      </c>
      <c r="C19" s="73">
        <f>Auditorio!D17</f>
        <v>10</v>
      </c>
      <c r="D19" s="50">
        <f>SUM(C19:C19)</f>
        <v>10</v>
      </c>
    </row>
    <row r="20" spans="2:4" x14ac:dyDescent="0.2">
      <c r="B20" s="35" t="s">
        <v>42</v>
      </c>
      <c r="C20" s="73">
        <f>Auditorio!D18</f>
        <v>2</v>
      </c>
      <c r="D20" s="50">
        <f>SUM(C20:C20)</f>
        <v>2</v>
      </c>
    </row>
    <row r="21" spans="2:4" x14ac:dyDescent="0.2">
      <c r="B21" s="35" t="s">
        <v>43</v>
      </c>
      <c r="C21" s="73">
        <f>Auditorio!D18</f>
        <v>2</v>
      </c>
      <c r="D21" s="50">
        <f>SUM(C21:C21)</f>
        <v>2</v>
      </c>
    </row>
    <row r="22" spans="2:4" x14ac:dyDescent="0.2">
      <c r="B22" s="35" t="s">
        <v>44</v>
      </c>
      <c r="C22" s="73">
        <f>Auditorio!D21</f>
        <v>1</v>
      </c>
      <c r="D22" s="50">
        <f>SUM(C22:C22)</f>
        <v>1</v>
      </c>
    </row>
    <row r="23" spans="2:4" x14ac:dyDescent="0.2">
      <c r="B23" s="35" t="s">
        <v>45</v>
      </c>
      <c r="C23" s="73">
        <f>Iglekids!D15</f>
        <v>30</v>
      </c>
      <c r="D23" s="50">
        <f>SUM(C23:C23)</f>
        <v>30</v>
      </c>
    </row>
    <row r="24" spans="2:4" x14ac:dyDescent="0.2">
      <c r="B24" s="36" t="s">
        <v>46</v>
      </c>
      <c r="C24" s="74">
        <f>SUM(C15:C23)</f>
        <v>85</v>
      </c>
      <c r="D24" s="50">
        <f>SUM(D15:D23)</f>
        <v>85</v>
      </c>
    </row>
    <row r="25" spans="2:4" x14ac:dyDescent="0.2">
      <c r="B25" s="32"/>
    </row>
  </sheetData>
  <sheetProtection formatCells="0"/>
  <mergeCells count="2">
    <mergeCell ref="B5:D5"/>
    <mergeCell ref="B13:D1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E789B-06C5-4FF2-B74B-D5685954649D}">
  <sheetPr>
    <tabColor rgb="FFFFFF00"/>
  </sheetPr>
  <dimension ref="B2:C59"/>
  <sheetViews>
    <sheetView tabSelected="1" topLeftCell="A10" workbookViewId="0">
      <selection activeCell="F22" sqref="F22"/>
    </sheetView>
  </sheetViews>
  <sheetFormatPr baseColWidth="10" defaultRowHeight="12.75" x14ac:dyDescent="0.2"/>
  <cols>
    <col min="1" max="1" width="6.5703125" style="1" customWidth="1"/>
    <col min="2" max="2" width="26.85546875" style="1" bestFit="1" customWidth="1"/>
    <col min="3" max="3" width="15.7109375" style="1" customWidth="1"/>
    <col min="4" max="16384" width="11.42578125" style="1"/>
  </cols>
  <sheetData>
    <row r="2" spans="2:3" ht="18" x14ac:dyDescent="0.25">
      <c r="B2" s="66" t="s">
        <v>65</v>
      </c>
      <c r="C2" s="66"/>
    </row>
    <row r="4" spans="2:3" x14ac:dyDescent="0.2">
      <c r="B4" s="1" t="s">
        <v>48</v>
      </c>
    </row>
    <row r="5" spans="2:3" x14ac:dyDescent="0.2">
      <c r="B5" s="58" t="s">
        <v>49</v>
      </c>
      <c r="C5" s="58"/>
    </row>
    <row r="7" spans="2:3" ht="18" x14ac:dyDescent="0.25">
      <c r="B7" s="66" t="s">
        <v>69</v>
      </c>
      <c r="C7" s="66"/>
    </row>
    <row r="9" spans="2:3" x14ac:dyDescent="0.2">
      <c r="B9" s="1" t="s">
        <v>50</v>
      </c>
      <c r="C9" s="54">
        <f>SUM(Consolidado!C9:C9)</f>
        <v>143</v>
      </c>
    </row>
    <row r="10" spans="2:3" x14ac:dyDescent="0.2">
      <c r="B10" s="1" t="s">
        <v>51</v>
      </c>
      <c r="C10" s="54">
        <f>Consolidado!D10</f>
        <v>10</v>
      </c>
    </row>
    <row r="11" spans="2:3" x14ac:dyDescent="0.2">
      <c r="B11" s="1" t="s">
        <v>52</v>
      </c>
      <c r="C11" s="54">
        <f>Iglekids!D16</f>
        <v>20</v>
      </c>
    </row>
    <row r="12" spans="2:3" x14ac:dyDescent="0.2">
      <c r="C12" s="54"/>
    </row>
    <row r="13" spans="2:3" ht="18" x14ac:dyDescent="0.25">
      <c r="B13" s="59" t="s">
        <v>74</v>
      </c>
      <c r="C13" s="51">
        <f>SUM(C9:C12)</f>
        <v>173</v>
      </c>
    </row>
    <row r="15" spans="2:3" ht="18" x14ac:dyDescent="0.25">
      <c r="B15" s="66" t="s">
        <v>68</v>
      </c>
      <c r="C15" s="66"/>
    </row>
    <row r="16" spans="2:3" x14ac:dyDescent="0.2">
      <c r="C16" s="54"/>
    </row>
    <row r="17" spans="2:3" x14ac:dyDescent="0.2">
      <c r="B17" s="1" t="s">
        <v>53</v>
      </c>
      <c r="C17" s="54">
        <f>Consolidado!D15</f>
        <v>10</v>
      </c>
    </row>
    <row r="18" spans="2:3" x14ac:dyDescent="0.2">
      <c r="B18" s="1" t="s">
        <v>54</v>
      </c>
      <c r="C18" s="54">
        <f>Consolidado!D16</f>
        <v>10</v>
      </c>
    </row>
    <row r="19" spans="2:3" x14ac:dyDescent="0.2">
      <c r="B19" s="1" t="s">
        <v>55</v>
      </c>
      <c r="C19" s="54">
        <f>Consolidado!D17</f>
        <v>10</v>
      </c>
    </row>
    <row r="20" spans="2:3" x14ac:dyDescent="0.2">
      <c r="B20" s="1" t="s">
        <v>56</v>
      </c>
      <c r="C20" s="54">
        <f>Consolidado!D18</f>
        <v>10</v>
      </c>
    </row>
    <row r="21" spans="2:3" x14ac:dyDescent="0.2">
      <c r="B21" s="1" t="s">
        <v>57</v>
      </c>
      <c r="C21" s="54">
        <f>Consolidado!D19</f>
        <v>10</v>
      </c>
    </row>
    <row r="22" spans="2:3" x14ac:dyDescent="0.2">
      <c r="B22" s="1" t="s">
        <v>58</v>
      </c>
      <c r="C22" s="54">
        <f>Consolidado!D20</f>
        <v>2</v>
      </c>
    </row>
    <row r="23" spans="2:3" x14ac:dyDescent="0.2">
      <c r="B23" s="1" t="s">
        <v>59</v>
      </c>
      <c r="C23" s="54">
        <f>Consolidado!D21</f>
        <v>2</v>
      </c>
    </row>
    <row r="24" spans="2:3" x14ac:dyDescent="0.2">
      <c r="B24" s="1" t="s">
        <v>60</v>
      </c>
      <c r="C24" s="54">
        <f>Consolidado!D22</f>
        <v>1</v>
      </c>
    </row>
    <row r="25" spans="2:3" x14ac:dyDescent="0.2">
      <c r="B25" s="1" t="s">
        <v>61</v>
      </c>
      <c r="C25" s="54">
        <f>Consolidado!C23</f>
        <v>30</v>
      </c>
    </row>
    <row r="26" spans="2:3" x14ac:dyDescent="0.2">
      <c r="C26" s="54"/>
    </row>
    <row r="27" spans="2:3" ht="18" x14ac:dyDescent="0.25">
      <c r="B27" s="59" t="s">
        <v>75</v>
      </c>
      <c r="C27" s="51">
        <f>SUM(C17:C26)</f>
        <v>85</v>
      </c>
    </row>
    <row r="28" spans="2:3" x14ac:dyDescent="0.2">
      <c r="C28" s="54"/>
    </row>
    <row r="29" spans="2:3" x14ac:dyDescent="0.2">
      <c r="C29" s="54"/>
    </row>
    <row r="30" spans="2:3" ht="18" x14ac:dyDescent="0.25">
      <c r="B30" s="59" t="s">
        <v>73</v>
      </c>
      <c r="C30" s="52">
        <f>C13+C27</f>
        <v>258</v>
      </c>
    </row>
    <row r="32" spans="2:3" x14ac:dyDescent="0.2">
      <c r="C32" s="54"/>
    </row>
    <row r="33" spans="2:3" ht="18" x14ac:dyDescent="0.25">
      <c r="B33" s="66" t="s">
        <v>67</v>
      </c>
      <c r="C33" s="66"/>
    </row>
    <row r="34" spans="2:3" x14ac:dyDescent="0.2">
      <c r="C34" s="54"/>
    </row>
    <row r="35" spans="2:3" ht="18" x14ac:dyDescent="0.25">
      <c r="B35" s="56" t="s">
        <v>66</v>
      </c>
      <c r="C35" s="57">
        <v>9</v>
      </c>
    </row>
    <row r="36" spans="2:3" x14ac:dyDescent="0.2">
      <c r="C36" s="54"/>
    </row>
    <row r="37" spans="2:3" ht="18" x14ac:dyDescent="0.25">
      <c r="B37" s="66" t="s">
        <v>70</v>
      </c>
      <c r="C37" s="66"/>
    </row>
    <row r="38" spans="2:3" x14ac:dyDescent="0.2">
      <c r="C38" s="54"/>
    </row>
    <row r="39" spans="2:3" x14ac:dyDescent="0.2">
      <c r="B39" s="1" t="s">
        <v>76</v>
      </c>
      <c r="C39" s="54">
        <f>Sobres!C5</f>
        <v>100</v>
      </c>
    </row>
    <row r="40" spans="2:3" x14ac:dyDescent="0.2">
      <c r="B40" s="1" t="s">
        <v>77</v>
      </c>
      <c r="C40" s="54">
        <f>Sobres!C6</f>
        <v>50</v>
      </c>
    </row>
    <row r="41" spans="2:3" x14ac:dyDescent="0.2">
      <c r="B41" s="1" t="s">
        <v>78</v>
      </c>
      <c r="C41" s="54">
        <f>Sobres!C7</f>
        <v>150</v>
      </c>
    </row>
    <row r="42" spans="2:3" x14ac:dyDescent="0.2">
      <c r="B42" s="55" t="s">
        <v>62</v>
      </c>
      <c r="C42" s="54">
        <f>Sobres!C8</f>
        <v>50</v>
      </c>
    </row>
    <row r="43" spans="2:3" ht="18" x14ac:dyDescent="0.25">
      <c r="B43" s="59" t="s">
        <v>82</v>
      </c>
      <c r="C43" s="60">
        <f>Sobres!C9</f>
        <v>100</v>
      </c>
    </row>
    <row r="44" spans="2:3" x14ac:dyDescent="0.2">
      <c r="C44" s="54"/>
    </row>
    <row r="45" spans="2:3" ht="18" x14ac:dyDescent="0.25">
      <c r="B45" s="66" t="s">
        <v>71</v>
      </c>
      <c r="C45" s="66"/>
    </row>
    <row r="46" spans="2:3" x14ac:dyDescent="0.2">
      <c r="C46" s="54"/>
    </row>
    <row r="47" spans="2:3" x14ac:dyDescent="0.2">
      <c r="B47" s="1" t="s">
        <v>79</v>
      </c>
      <c r="C47" s="54">
        <f>Sobres!C13</f>
        <v>20</v>
      </c>
    </row>
    <row r="48" spans="2:3" x14ac:dyDescent="0.2">
      <c r="B48" s="1" t="s">
        <v>77</v>
      </c>
      <c r="C48" s="54">
        <f>Sobres!C14</f>
        <v>10</v>
      </c>
    </row>
    <row r="49" spans="2:3" x14ac:dyDescent="0.2">
      <c r="B49" s="1" t="s">
        <v>63</v>
      </c>
      <c r="C49" s="54">
        <f>Sobres!C15</f>
        <v>30</v>
      </c>
    </row>
    <row r="50" spans="2:3" x14ac:dyDescent="0.2">
      <c r="B50" s="55" t="s">
        <v>64</v>
      </c>
      <c r="C50" s="54">
        <f>Sobres!C16</f>
        <v>10</v>
      </c>
    </row>
    <row r="51" spans="2:3" ht="18" x14ac:dyDescent="0.25">
      <c r="B51" s="59" t="s">
        <v>83</v>
      </c>
      <c r="C51" s="60">
        <f>Sobres!C17</f>
        <v>20</v>
      </c>
    </row>
    <row r="52" spans="2:3" x14ac:dyDescent="0.2">
      <c r="C52" s="54"/>
    </row>
    <row r="53" spans="2:3" ht="18" x14ac:dyDescent="0.25">
      <c r="B53" s="66" t="s">
        <v>72</v>
      </c>
      <c r="C53" s="66"/>
    </row>
    <row r="54" spans="2:3" x14ac:dyDescent="0.2">
      <c r="C54" s="54"/>
    </row>
    <row r="55" spans="2:3" x14ac:dyDescent="0.2">
      <c r="B55" s="1" t="s">
        <v>80</v>
      </c>
      <c r="C55" s="54">
        <f>Sobres!C21</f>
        <v>100</v>
      </c>
    </row>
    <row r="56" spans="2:3" x14ac:dyDescent="0.2">
      <c r="B56" s="1" t="s">
        <v>81</v>
      </c>
      <c r="C56" s="54">
        <f>Sobres!C22</f>
        <v>20</v>
      </c>
    </row>
    <row r="57" spans="2:3" x14ac:dyDescent="0.2">
      <c r="B57" s="1" t="s">
        <v>63</v>
      </c>
      <c r="C57" s="54">
        <f>Sobres!C23</f>
        <v>120</v>
      </c>
    </row>
    <row r="58" spans="2:3" x14ac:dyDescent="0.2">
      <c r="B58" s="55" t="s">
        <v>64</v>
      </c>
      <c r="C58" s="54">
        <f>Sobres!C24</f>
        <v>15</v>
      </c>
    </row>
    <row r="59" spans="2:3" ht="18" x14ac:dyDescent="0.25">
      <c r="B59" s="59" t="s">
        <v>84</v>
      </c>
      <c r="C59" s="60">
        <f>Sobres!C25</f>
        <v>105</v>
      </c>
    </row>
  </sheetData>
  <sheetProtection formatCells="0"/>
  <mergeCells count="7">
    <mergeCell ref="B2:C2"/>
    <mergeCell ref="B33:C33"/>
    <mergeCell ref="B7:C7"/>
    <mergeCell ref="B15:C15"/>
    <mergeCell ref="B37:C37"/>
    <mergeCell ref="B45:C45"/>
    <mergeCell ref="B53:C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Auditorio</vt:lpstr>
      <vt:lpstr>Iglekids</vt:lpstr>
      <vt:lpstr>Sobres</vt:lpstr>
      <vt:lpstr>Consolidado</vt:lpstr>
      <vt:lpstr>Informe</vt:lpstr>
      <vt:lpstr>Auditorio!Área_de_impresión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alemontt</dc:creator>
  <cp:lastModifiedBy>Luis Fernando Quiroz Ruiz</cp:lastModifiedBy>
  <cp:lastPrinted>2023-05-08T11:58:44Z</cp:lastPrinted>
  <dcterms:created xsi:type="dcterms:W3CDTF">2023-02-13T14:28:11Z</dcterms:created>
  <dcterms:modified xsi:type="dcterms:W3CDTF">2026-02-03T04:11:49Z</dcterms:modified>
</cp:coreProperties>
</file>